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grace\Desktop\"/>
    </mc:Choice>
  </mc:AlternateContent>
  <xr:revisionPtr revIDLastSave="0" documentId="13_ncr:1_{ED780503-A1BC-4502-AACB-00641E06D348}" xr6:coauthVersionLast="47" xr6:coauthVersionMax="47" xr10:uidLastSave="{00000000-0000-0000-0000-000000000000}"/>
  <bookViews>
    <workbookView xWindow="384" yWindow="384" windowWidth="17280" windowHeight="8964" xr2:uid="{00000000-000D-0000-FFFF-FFFF00000000}"/>
  </bookViews>
  <sheets>
    <sheet name="Description" sheetId="2" r:id="rId1"/>
    <sheet name="Llama1" sheetId="11" r:id="rId2"/>
    <sheet name="Llama0" sheetId="10" r:id="rId3"/>
    <sheet name="Gpt1" sheetId="9" r:id="rId4"/>
    <sheet name="Gpt0" sheetId="8" r:id="rId5"/>
    <sheet name="Deep1" sheetId="7" r:id="rId6"/>
    <sheet name="Deep0" sheetId="6" r:id="rId7"/>
    <sheet name="Hum2" sheetId="5" r:id="rId8"/>
    <sheet name="Hum1" sheetId="1" r:id="rId9"/>
    <sheet name="Hum_LLM" sheetId="3" r:id="rId10"/>
    <sheet name="Training_Data" sheetId="4"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3" i="3" l="1"/>
  <c r="O4" i="3"/>
  <c r="O5" i="3"/>
  <c r="O6" i="3"/>
  <c r="O7" i="3"/>
  <c r="O8" i="3"/>
  <c r="O9" i="3"/>
  <c r="O10" i="3"/>
  <c r="O11" i="3"/>
  <c r="O12" i="3"/>
  <c r="O13" i="3"/>
  <c r="O14" i="3"/>
  <c r="O15" i="3"/>
  <c r="O16" i="3"/>
  <c r="O17" i="3"/>
  <c r="O18" i="3"/>
  <c r="O19" i="3"/>
  <c r="O20" i="3"/>
  <c r="O21" i="3"/>
  <c r="O22" i="3"/>
  <c r="O23" i="3"/>
  <c r="O24" i="3"/>
  <c r="O25" i="3"/>
  <c r="O26" i="3"/>
  <c r="O27" i="3"/>
  <c r="O28" i="3"/>
  <c r="O2" i="3"/>
  <c r="N3" i="3"/>
  <c r="N4" i="3"/>
  <c r="N5" i="3"/>
  <c r="N6" i="3"/>
  <c r="N7" i="3"/>
  <c r="N8" i="3"/>
  <c r="N9" i="3"/>
  <c r="N10" i="3"/>
  <c r="N11" i="3"/>
  <c r="N12" i="3"/>
  <c r="N13" i="3"/>
  <c r="N14" i="3"/>
  <c r="N15" i="3"/>
  <c r="N16" i="3"/>
  <c r="N17" i="3"/>
  <c r="N18" i="3"/>
  <c r="N19" i="3"/>
  <c r="N20" i="3"/>
  <c r="N21" i="3"/>
  <c r="N22" i="3"/>
  <c r="N23" i="3"/>
  <c r="N24" i="3"/>
  <c r="N25" i="3"/>
  <c r="N26" i="3"/>
  <c r="N27" i="3"/>
  <c r="N28" i="3"/>
  <c r="N2" i="3"/>
  <c r="M3" i="3"/>
  <c r="M4" i="3"/>
  <c r="M5" i="3"/>
  <c r="M6" i="3"/>
  <c r="M7" i="3"/>
  <c r="M8" i="3"/>
  <c r="M9" i="3"/>
  <c r="M10" i="3"/>
  <c r="M11" i="3"/>
  <c r="M12" i="3"/>
  <c r="M13" i="3"/>
  <c r="M14" i="3"/>
  <c r="M15" i="3"/>
  <c r="M16" i="3"/>
  <c r="M17" i="3"/>
  <c r="M18" i="3"/>
  <c r="M19" i="3"/>
  <c r="M20" i="3"/>
  <c r="M21" i="3"/>
  <c r="M22" i="3"/>
  <c r="M23" i="3"/>
  <c r="M24" i="3"/>
  <c r="M25" i="3"/>
  <c r="M26" i="3"/>
  <c r="M27" i="3"/>
  <c r="M28" i="3"/>
  <c r="M2" i="3"/>
  <c r="L2" i="3"/>
  <c r="L3" i="3"/>
  <c r="L4" i="3"/>
  <c r="L5" i="3"/>
  <c r="L6" i="3"/>
  <c r="L7" i="3"/>
  <c r="L8" i="3"/>
  <c r="L9" i="3"/>
  <c r="L10" i="3"/>
  <c r="L11" i="3"/>
  <c r="L12" i="3"/>
  <c r="L13" i="3"/>
  <c r="L14" i="3"/>
  <c r="L15" i="3"/>
  <c r="L16" i="3"/>
  <c r="L17" i="3"/>
  <c r="L18" i="3"/>
  <c r="S23" i="3" a="1"/>
  <c r="R12" i="3" a="1"/>
  <c r="R9" i="3" a="1"/>
  <c r="P17" i="3" a="1"/>
  <c r="Q26" i="3" a="1"/>
  <c r="S7" i="3" a="1"/>
  <c r="R28" i="3" a="1"/>
  <c r="R25" i="3" a="1"/>
  <c r="P11" i="3" a="1"/>
  <c r="P5" i="3" a="1"/>
  <c r="Q22" i="3" a="1"/>
  <c r="R20" i="3" a="1"/>
  <c r="R17" i="3" a="1"/>
  <c r="R18" i="3" a="1"/>
  <c r="Q9" i="3" a="1"/>
  <c r="S3" i="3" a="1"/>
  <c r="S16" i="3" a="1"/>
  <c r="R4" i="3" a="1"/>
  <c r="R19" i="3" a="1"/>
  <c r="P18" i="3" a="1"/>
  <c r="P27" i="3" a="1"/>
  <c r="Q7" i="3" a="1"/>
  <c r="S25" i="3" a="1"/>
  <c r="P21" i="3" a="1"/>
  <c r="R5" i="3" a="1"/>
  <c r="Q5" i="3" a="1"/>
  <c r="S11" i="3" a="1"/>
  <c r="S19" i="3" a="1"/>
  <c r="S12" i="3" a="1"/>
  <c r="S8" i="3" a="1"/>
  <c r="R21" i="3" a="1"/>
  <c r="R10" i="3" a="1"/>
  <c r="P19" i="3" a="1"/>
  <c r="Q19" i="3" a="1"/>
  <c r="Q15" i="3" a="1"/>
  <c r="S9" i="3" a="1"/>
  <c r="R24" i="3" a="1"/>
  <c r="R26" i="3" a="1"/>
  <c r="P25" i="3" a="1"/>
  <c r="Q27" i="3" a="1"/>
  <c r="S4" i="3" a="1"/>
  <c r="S13" i="3" a="1"/>
  <c r="S10" i="3" a="1"/>
  <c r="R13" i="3" a="1"/>
  <c r="R2" i="3" a="1"/>
  <c r="P4" i="3" a="1"/>
  <c r="Q12" i="3" a="1"/>
  <c r="Q8" i="3" a="1"/>
  <c r="S26" i="3" a="1"/>
  <c r="P15" i="3" a="1"/>
  <c r="Q17" i="3" a="1"/>
  <c r="S27" i="3" a="1"/>
  <c r="P7" i="3" a="1"/>
  <c r="S5" i="3" a="1"/>
  <c r="S18" i="3" a="1"/>
  <c r="R14" i="3" a="1"/>
  <c r="P10" i="3" a="1"/>
  <c r="P2" i="3" a="1"/>
  <c r="Q20" i="3" a="1"/>
  <c r="Q24" i="3" a="1"/>
  <c r="R6" i="3" a="1"/>
  <c r="P23" i="3" a="1"/>
  <c r="Q4" i="3" a="1"/>
  <c r="R22" i="3" a="1"/>
  <c r="P8" i="3" a="1"/>
  <c r="S14" i="3" a="1"/>
  <c r="S22" i="3" a="1"/>
  <c r="S17" i="3" a="1"/>
  <c r="S21" i="3" a="1"/>
  <c r="R15" i="3" a="1"/>
  <c r="P20" i="3" a="1"/>
  <c r="P13" i="3" a="1"/>
  <c r="Q21" i="3" a="1"/>
  <c r="Q18" i="3" a="1"/>
  <c r="S2" i="3" a="1"/>
  <c r="R23" i="3" a="1"/>
  <c r="P14" i="3" a="1"/>
  <c r="P26" i="3" a="1"/>
  <c r="Q10" i="3" a="1"/>
  <c r="S6" i="3" a="1"/>
  <c r="Q25" i="3" a="1"/>
  <c r="S24" i="3" a="1"/>
  <c r="R3" i="3" a="1"/>
  <c r="R7" i="3" a="1"/>
  <c r="P24" i="3" a="1"/>
  <c r="P12" i="3" a="1"/>
  <c r="Q28" i="3" a="1"/>
  <c r="Q2" i="3" a="1"/>
  <c r="Q23" i="3" a="1"/>
  <c r="Q11" i="3" a="1"/>
  <c r="Q16" i="3" a="1"/>
  <c r="S20" i="3" a="1"/>
  <c r="R11" i="3" a="1"/>
  <c r="R16" i="3" a="1"/>
  <c r="P16" i="3" a="1"/>
  <c r="P6" i="3" a="1"/>
  <c r="Q13" i="3" a="1"/>
  <c r="Q3" i="3" a="1"/>
  <c r="P3" i="3" a="1"/>
  <c r="S15" i="3" a="1"/>
  <c r="R27" i="3" a="1"/>
  <c r="R8" i="3" a="1"/>
  <c r="P28" i="3" a="1"/>
  <c r="P22" i="3" a="1"/>
  <c r="Q14" i="3" a="1"/>
  <c r="P9" i="3" a="1"/>
  <c r="Q6" i="3" a="1"/>
  <c r="S28" i="3" a="1"/>
  <c r="S21" i="3" l="1"/>
  <c r="S27" i="3"/>
  <c r="S26" i="3"/>
  <c r="S18" i="3"/>
  <c r="S10" i="3"/>
  <c r="S9" i="3"/>
  <c r="S8" i="3"/>
  <c r="S28" i="3"/>
  <c r="S25" i="3"/>
  <c r="S16" i="3"/>
  <c r="S7" i="3"/>
  <c r="S23" i="3"/>
  <c r="S15" i="3"/>
  <c r="S20" i="3"/>
  <c r="S24" i="3"/>
  <c r="S6" i="3"/>
  <c r="S17" i="3"/>
  <c r="S22" i="3"/>
  <c r="S14" i="3"/>
  <c r="S5" i="3"/>
  <c r="S13" i="3"/>
  <c r="S4" i="3"/>
  <c r="S12" i="3"/>
  <c r="S19" i="3"/>
  <c r="S11" i="3"/>
  <c r="S3" i="3"/>
  <c r="S2" i="3"/>
  <c r="R26" i="3"/>
  <c r="R10" i="3"/>
  <c r="R18" i="3"/>
  <c r="R17" i="3"/>
  <c r="R19" i="3"/>
  <c r="R25" i="3"/>
  <c r="R9" i="3"/>
  <c r="R8" i="3"/>
  <c r="R16" i="3"/>
  <c r="R7" i="3"/>
  <c r="R23" i="3"/>
  <c r="R15" i="3"/>
  <c r="R22" i="3"/>
  <c r="R6" i="3"/>
  <c r="R14" i="3"/>
  <c r="R13" i="3"/>
  <c r="R24" i="3"/>
  <c r="R21" i="3"/>
  <c r="R5" i="3"/>
  <c r="R20" i="3"/>
  <c r="R4" i="3"/>
  <c r="R28" i="3"/>
  <c r="R12" i="3"/>
  <c r="R27" i="3"/>
  <c r="R11" i="3"/>
  <c r="R3" i="3"/>
  <c r="R2" i="3"/>
  <c r="Q10" i="3"/>
  <c r="Q18" i="3"/>
  <c r="Q9" i="3"/>
  <c r="Q17" i="3"/>
  <c r="Q24" i="3"/>
  <c r="Q8" i="3"/>
  <c r="Q16" i="3"/>
  <c r="Q15" i="3"/>
  <c r="Q26" i="3"/>
  <c r="Q23" i="3"/>
  <c r="Q7" i="3"/>
  <c r="Q22" i="3"/>
  <c r="Q6" i="3"/>
  <c r="Q14" i="3"/>
  <c r="Q13" i="3"/>
  <c r="Q28" i="3"/>
  <c r="Q25" i="3"/>
  <c r="Q21" i="3"/>
  <c r="Q5" i="3"/>
  <c r="Q4" i="3"/>
  <c r="Q20" i="3"/>
  <c r="Q12" i="3"/>
  <c r="Q27" i="3"/>
  <c r="Q19" i="3"/>
  <c r="Q11" i="3"/>
  <c r="Q3" i="3"/>
  <c r="Q2" i="3"/>
  <c r="P9" i="3"/>
  <c r="P17" i="3"/>
  <c r="P8" i="3"/>
  <c r="P18" i="3"/>
  <c r="P16" i="3"/>
  <c r="P7" i="3"/>
  <c r="P15" i="3"/>
  <c r="P10" i="3"/>
  <c r="P24" i="3"/>
  <c r="P22" i="3"/>
  <c r="P14" i="3"/>
  <c r="P6" i="3"/>
  <c r="P23" i="3"/>
  <c r="P5" i="3"/>
  <c r="P13" i="3"/>
  <c r="P4" i="3"/>
  <c r="P12" i="3"/>
  <c r="P26" i="3"/>
  <c r="P25" i="3"/>
  <c r="P21" i="3"/>
  <c r="P28" i="3"/>
  <c r="P20" i="3"/>
  <c r="P27" i="3"/>
  <c r="P19" i="3"/>
  <c r="P11" i="3"/>
  <c r="P3" i="3"/>
  <c r="P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<sst xmlns="http://schemas.openxmlformats.org/spreadsheetml/2006/main" count="891" uniqueCount="472">
  <si>
    <t>question_id</t>
  </si>
  <si>
    <t>question_text</t>
  </si>
  <si>
    <t>accuracy_score</t>
  </si>
  <si>
    <t>efficiency_score</t>
  </si>
  <si>
    <t>politeness_score</t>
  </si>
  <si>
    <t>trust_score</t>
  </si>
  <si>
    <t>satisfaction_score</t>
  </si>
  <si>
    <t>risk_flag</t>
  </si>
  <si>
    <t>token_count</t>
  </si>
  <si>
    <t>platform</t>
  </si>
  <si>
    <t>is_human</t>
  </si>
  <si>
    <t>field_name</t>
  </si>
  <si>
    <t>description</t>
  </si>
  <si>
    <t>Human agent = 1, LLM = 0</t>
  </si>
  <si>
    <t>0 = no misleading/mistaken information, 1 = contains misleading/incorrect info</t>
  </si>
  <si>
    <t>answer_text</t>
  </si>
  <si>
    <t xml:space="preserve">Can I apply for a credit card as a master student in Riga Technical University?
</t>
  </si>
  <si>
    <t>In chat I can not provide you information what will be our decision</t>
  </si>
  <si>
    <t>What documents do I need to submit in order to be a client?</t>
  </si>
  <si>
    <t>If anything else will be needed, our specialists will inform you
https://www.seb.lv/en/private/daily-banking/service-plans/book-meeting-time</t>
  </si>
  <si>
    <t>Are you a citizen of Latvia or have a residence permit? You need to provide all the documents you have to show connection with Latvia
To submit an application you need to book a meeting and visit our customer service office</t>
  </si>
  <si>
    <t xml:space="preserve">You need to book a meeting and specialists will contact you if this will be needed
</t>
  </si>
  <si>
    <t xml:space="preserve">Can you provide me some basic information about the normal procedure
of getting a credit card?
</t>
  </si>
  <si>
    <t>In chat we provide only general information about credit cards</t>
  </si>
  <si>
    <t>Evaluation is individual for each client
You can read it here: https:www/seb.lv/en/private/cards/masstandard-credit-card</t>
  </si>
  <si>
    <t>You can read it here: https://www.seb.lv/en/private/cards/masstandard-credit-card
There is an information about travel insurance. We offer it with a credit card
All purchases made with credit card are automatically insured</t>
  </si>
  <si>
    <t>I am a student with part-time income from China, not Latvia, will this affect 
my eligibility?</t>
  </si>
  <si>
    <t xml:space="preserve">Yes. It will. </t>
  </si>
  <si>
    <t xml:space="preserve">Can you clarify, " all the purchases are insured?" Does it mean when stuff purchased are not arrived, or something like this, there can be some insurance?
</t>
  </si>
  <si>
    <t>In chat I can provide you only general information
Purchases made with SEB credit card or from credit card account(for example, furniture, clothing, footwear, musical instruments, sports and leisure items, toys, household appliances, computer and other goods intended for long-term use) are insured.
You can read more information here: https://www.seb.lv/en/private/insurance/purchase-insurance</t>
  </si>
  <si>
    <t>If I want to get a credit card, normally if I have a stable job with stable income in Latvia, that would be easier, right?</t>
  </si>
  <si>
    <t>cannot answer. Each case individual. Preferred income in Latvia</t>
  </si>
  <si>
    <t>How long does it take to get the credit card?</t>
  </si>
  <si>
    <t>Each case individual. It takes 5 days to post the card. But decision may take up to 15 days</t>
  </si>
  <si>
    <t>Mailing fees by post is 1.00 euro</t>
  </si>
  <si>
    <t>If my application is rejected, will it affect my application for credit card in other bank, for example, swedbank?</t>
  </si>
  <si>
    <t>No</t>
  </si>
  <si>
    <t>So I have to book a meeting, check the info on SEB, talk with the specialist
and then get to know whether I can get the credit card?</t>
  </si>
  <si>
    <t>yes, but you have to be a client first by opening an account</t>
  </si>
  <si>
    <t>For opening an account, what documents do I need to provide?</t>
  </si>
  <si>
    <t>https://www.seb.lv/en/private/become-customer/become-customer
All the documents you mentioned before need to be provided when you attend a meeting. 
Book a meeting on our homepage, choose an option to become a customer</t>
  </si>
  <si>
    <t>Upon receiving your application, we evaluate the following:
How long have you been employed at your current workplace?
Your declared income(salary, business income, rental income etc.)
Your credit history;
The number of dependents you have;
Existing credit obligations</t>
  </si>
  <si>
    <t>We take into account income from the past 6 months. If you are not a resident of Latvia,
then when assessing the possibility of starting a cooperation, it is necessary to submit 
documents that prove your connection to Latvia. These are the documents you will need to provide.</t>
  </si>
  <si>
    <t xml:space="preserve">To apply for a credit card, you first need to become our client. Only then we will be able to 
assess whether it is possible to issue a credit card.
The first-time inspection of documents for customers who have a personal identity document issued outside the EEA and who do not have a permanent residence permit in Latvia is conducted with a fee of EUR 250.00.
</t>
  </si>
  <si>
    <t>The main requirement is that the income is regular. If the bank has any question regarding your credit card application, we will contact you and ask for further information. You understand correctly, but please note that the bank first evaluates the possibility of starting
a cooperation with each client.</t>
  </si>
  <si>
    <t>What is the difference between student credit card and normal credit card?</t>
  </si>
  <si>
    <t>Unfortunately, we do not offer student ISIC cards. We only provide debit cards and credit
cards, which come with a credit limit, travel and purchase insurance, and other benefits.</t>
  </si>
  <si>
    <t>The credit card comes with a credit limit, travel and purchase insurance, and other benefits.
If you choose the MC Premium credit card, you will also be able to use Fast Track priority security control at international airports and Flight Delay Pass - access to business lounges in
case of flight delays. More information about our credit cards is available here: www.seb.lv/
en/private/payment-cards</t>
  </si>
  <si>
    <t>The credit card is valid for 4 years.</t>
  </si>
  <si>
    <t>The Mastercard Standard card costs EUR 2.50 per month, and the Mastercard Premium card
costs EUR 3.60 per month. If you want to use these services more cost effectively, you can
subscribe to one of our service packages. More information about them is available here:
www.seb.lv/en/private/daily-banking/service-plans</t>
  </si>
  <si>
    <t>First, you need to attend an in-person meeting, which should be booked in advance on our
website. Once your account is open, you will be able to apply for a credit card.</t>
  </si>
  <si>
    <t>It is necessary to submit documents that prove your connection to Latvia.</t>
  </si>
  <si>
    <t>You understand correctly, but please note that the bank first evaluates the possibility of starting a cooperation with each client. This may take some time.</t>
  </si>
  <si>
    <t>First, you need to attend an in-person meeting, which should be booked in advance on our
website. Once your account is open, you will be able to apply for a credit card. To issue the
credit card, we will evaluate all the information mentioned above and inform you of our decision.</t>
  </si>
  <si>
    <t xml:space="preserve">Insurance is included only with credit cards. With the Standard credit card, only the cardholder is insured. With the Premium credit card, the cardholder, spouse, and children are
insured. More information about travel insurance is available here:
www.seb.lv/en/private/insurance/travel-insurance-credit-card
</t>
  </si>
  <si>
    <t>it will be clearer for the bank where the funds come from if your salary is credited from a 
Latvian company.</t>
  </si>
  <si>
    <t>When assessing the possibility of starting a cooperation, it is necessary to submit documents that prove your connection to Latvia. These are the documents you will need to provide.</t>
  </si>
  <si>
    <t xml:space="preserve">If your application is declined, you are welcome to apply again later. Please note, however, 
that to apply for a credit card, you need to have been employed at the same workplace for at
least 6 months. Our refusal does not affect whether another bank will grant you a credit card. Each bank evaluates applications individually.
</t>
  </si>
  <si>
    <t>NaN</t>
  </si>
  <si>
    <t>No other fees are charged. Please note that with a credit card, you can use both your own funds and the credit limit. If you use the credit limit, interest will be charged on the utlized amount at an annual rate of 18%. However it is also possible to use the interest-free limit.</t>
  </si>
  <si>
    <t>At the time of account opening, the consultant will not be able to assess the possibility of issuing a credit card. This assessment can only be carried out by a credit specialist once the
application has been submitted.</t>
  </si>
  <si>
    <t>Can the documents be submitted online or do they have to be submitted in person?</t>
  </si>
  <si>
    <t>Documents can be submitted either in person or remotedly(if you have a Smart-ID Qualified 
eID card).</t>
  </si>
  <si>
    <t>Minimum Credit Limits: 
Mastercard Standard: EUR 350
Mastercard Premium: EUR 450
Interest-free credit card: The credit card limit can be used for up to 45 days without charge-
if the full utilized amount is repaid by the 15th of the following month, no interest will be
charged.
Credit line: The utilized credit amount can be repaid gradually, each month on a date chosen 
by the client between the 5th and 15th, repaying 5% of the credit limit used in the previous
month. Interest is charged together with the principal.</t>
  </si>
  <si>
    <t>Yes, it is not mandatory to use the credit limit on a credit card. You can also simply deposit
your own funds and use them.</t>
  </si>
  <si>
    <t>is there any special offers for first-time cardholders?</t>
  </si>
  <si>
    <t>At the moment, unfortunately, there are no special offers.</t>
  </si>
  <si>
    <t>We offer Mastercard cards, which are internationally recognized. You can use these cards for payments anywhere Mastercard is accepted, except in Russia and Belarus.</t>
  </si>
  <si>
    <t>The average processing time for an application is up to 7 business days. You can submit 
a credit card application in your Internet banking under: Cards-New card.
Unfortunately, I cannot give an exact timeframe, as it will be assessed individually.
After the in-person meeting, the employee will most likely be able to give you an approximate timeframe.</t>
  </si>
  <si>
    <t>What should I do to increase my credit card limit?</t>
  </si>
  <si>
    <t>Limits can be adjusted in internet bank.</t>
  </si>
  <si>
    <t>What should I do to increase my credit limit, say from 5000 euros to 10000 euros?</t>
  </si>
  <si>
    <t>To change the credit limit, you need to submit an application through internet bank. The
evaluation fee is EUR 10. Please note that for the interest-free credit card, the maximum
credit limit can be up to one month's salary, and for the credit line, up to two months' salary.
The bank evaluates credit card approvals individually. Of course, income is a factor in the
decision-making process.</t>
  </si>
  <si>
    <t>question_type</t>
  </si>
  <si>
    <t>Information Retrieval</t>
  </si>
  <si>
    <t>Comparative Queries</t>
  </si>
  <si>
    <t>Promotional Offers</t>
  </si>
  <si>
    <t>Empathic Scenarios</t>
  </si>
  <si>
    <t>Can I apply for a credit card as a master student at Riga Technical University?</t>
  </si>
  <si>
    <t>Yes, you can. Bring your passport, RTU student certificate, residence permit (if needed), and recent bank statements. Apply online or at a branch.</t>
  </si>
  <si>
    <t>How to become a client of SEB?</t>
  </si>
  <si>
    <t>Use the SEB app, book a video meeting, or visit a branch to open an account.</t>
  </si>
  <si>
    <t>Bring your passport/ID, residence permit or study agreement, proof of address, and proof of income.</t>
  </si>
  <si>
    <t>Are residence permit, rental agreement, personal passport enough? Is anything missing?</t>
  </si>
  <si>
    <t>Also bring your RTU certificate, recent bank statements, and income proof.</t>
  </si>
  <si>
    <t>Do I have to contact specialists about becoming a client, and only then discuss credit card application?</t>
  </si>
  <si>
    <t>Yes, schedule a video or branch meeting first; the specialist will guide you through both steps.</t>
  </si>
  <si>
    <t>What is the normal procedure of getting a credit card at SEB?</t>
  </si>
  <si>
    <t>Open an SEB account, submit a credit card application online or at a branch, wait for approval, then receive and activate your card.</t>
  </si>
  <si>
    <t>Can you tell me the normal monthly and annual fees of different SEB credit cards?</t>
  </si>
  <si>
    <t>Are there any promotional offers for SEB credit cards?</t>
  </si>
  <si>
    <t>I am a student with part-time income from China, not Latvia — will this affect my eligibility?</t>
  </si>
  <si>
    <t>Foreign income can be accepted if verifiable. Bring contracts, invoices, and bank statements (with translations if needed).</t>
  </si>
  <si>
    <t>'All purchases are insured' — does that cover non-delivery of goods?</t>
  </si>
  <si>
    <t>If I have a stable job with stable income in Latvia, is approval easier?</t>
  </si>
  <si>
    <t>Yes, stable local income improves approval chances and may allow higher limits.</t>
  </si>
  <si>
    <t>How long does it take to get the credit card after approval?</t>
  </si>
  <si>
    <t>Cards are mailed within a few days, usually 3–14 days depending on verification and postal service.</t>
  </si>
  <si>
    <t>Is there any mailing fee for sending the card?</t>
  </si>
  <si>
    <t>SEB fees: €1 in Latvia, €10 abroad, €2.30 to a parcel machine in Latvia.</t>
  </si>
  <si>
    <t>If my application is rejected, will it affect my application at another bank (e.g., Swedbank)?</t>
  </si>
  <si>
    <t>Not directly, but credit checks may appear in credit bureau records. Fix issues before reapplying elsewhere.</t>
  </si>
  <si>
    <t>Do I need to book a meeting and check SEB info before applying?</t>
  </si>
  <si>
    <t>Yes, schedule a video or branch appointment and prepare your documents.</t>
  </si>
  <si>
    <t>For opening an account, what specific documents should I provide?</t>
  </si>
  <si>
    <t>Passport/ID, residence permit, study or employment proof, proof of address, phone/email contact.</t>
  </si>
  <si>
    <t>What is the difference between a student credit card and a normal credit card at SEB?</t>
  </si>
  <si>
    <t>SEB does not have a specific student card; students apply for Standard or Premium cards.</t>
  </si>
  <si>
    <t>What is the normal validity (duration) of a newly issued SEB credit card?</t>
  </si>
  <si>
    <t>Usually 2–5 years (commonly 3). Check the expiry date on your card.</t>
  </si>
  <si>
    <t>Apart from monthly fees, what other fees might apply?</t>
  </si>
  <si>
    <t>Can the consultant advise me not to apply for a credit card during the meeting?</t>
  </si>
  <si>
    <t>Yes, the consultant may suggest improving income proof or credit profile first.</t>
  </si>
  <si>
    <t>Can documents be submitted online or must they be submitted in person?</t>
  </si>
  <si>
    <t>You can upload documents via the SEB app or during a video meeting; some identity verifications for non-residents may require in-branch presence. Ask the specialist if your case requires it.</t>
  </si>
  <si>
    <t>What are the interest-free credit terms for SEB cards?</t>
  </si>
  <si>
    <t>SEB offers up to 45 days interest-free on purchases if the full statement balance is paid by the due date. Pay full balance to avoid interest.</t>
  </si>
  <si>
    <t>Can the SEB credit card also function like a debit card to use my own funds?</t>
  </si>
  <si>
    <t>Credit cards are for borrowing. To use your own funds, order a separate SEB debit card linked to your account.</t>
  </si>
  <si>
    <t>Are SEB credit cards (Mastercard) accepted worldwide?</t>
  </si>
  <si>
    <t>Yes, Mastercard is accepted globally. Inform SEB of travel plans and check for international transaction fees.</t>
  </si>
  <si>
    <t>How to increase my credit card limit?</t>
  </si>
  <si>
    <t>Provide updated proof of income, show 6–12 months of timely repayments, transfer salary to SEB, and submit a formal limit increase request online or at a branch.</t>
  </si>
  <si>
    <t>How to raise limit from €5,000 to €10,000?</t>
  </si>
  <si>
    <t>You need higher documented income, longer positive repayment history, and possibly a higher service plan. Prepare 6–12 months of payslips and request review with a SEB specialist.</t>
  </si>
  <si>
    <t>Does SEB offer purchase insurance automatically with cards?</t>
  </si>
  <si>
    <t>Does SEB credit card include travel insurance?</t>
  </si>
  <si>
    <t>Yes. Standard cards cover basic travel emergencies and medical assistance; Premium cards cover higher medical costs and baggage delays; World Elite cards include comprehensive coverage, including trip cancellation, medical, and personal liability. Coverage is automatic with the card.</t>
  </si>
  <si>
    <t>Which countries are excluded by SEB travel insurance?</t>
  </si>
  <si>
    <t>Travel insurance excludes countries under UN/EU/US sanctions, and active war zones such as Russia, Ukraine, Syria, and North Korea.</t>
  </si>
  <si>
    <t>What is the cash withdrawal fee at ATMs?</t>
  </si>
  <si>
    <t>How is the monthly statement and repayment schedule organized?</t>
  </si>
  <si>
    <t>You receive a monthly statement showing purchases and due date. Pay full balance by due date to remain interest-free, or at least minimum payment to avoid default.</t>
  </si>
  <si>
    <t>Is there a minimum income requirement publicly stated for Standard card?</t>
  </si>
  <si>
    <t>SEB does not publish a strict minimum income. Credit limits start from €350 and depend on income. Provide payslips or bank statements to support your requested limit.</t>
  </si>
  <si>
    <t>Will SEB accept bank statements from Chinese bank accounts as proof of income?</t>
  </si>
  <si>
    <t>Yes, if verifiable. Bring original statements, translations, and, if possible, an official employer letter. Notarized translations may be required.</t>
  </si>
  <si>
    <t>Can I apply for a card online if I am not yet an SEB client?</t>
  </si>
  <si>
    <t>You must first open an account. After client status is created, you can apply online. Remote onboarding is possible via app or video meeting.</t>
  </si>
  <si>
    <t>Does SEB check credit bureau records when assessing applications?</t>
  </si>
  <si>
    <t>Yes, SEB checks creditworthiness using available credit registers. Obtain your credit report beforehand to correct errors.</t>
  </si>
  <si>
    <t>Will frequent card applications harm my credit score?</t>
  </si>
  <si>
    <t>Multiple inquiries may be visible to lenders and affect decisions. Avoid simultaneous applications; prepare documentation and apply selectively.</t>
  </si>
  <si>
    <t>Are there age limits for obtaining a credit card?</t>
  </si>
  <si>
    <t>You must be at least 18. Bring ID proving age when applying.</t>
  </si>
  <si>
    <t>Can I have supplementary cards for family members?</t>
  </si>
  <si>
    <t>Does SEB offer contactless payments and mobile wallet support?</t>
  </si>
  <si>
    <t>Yes, SEB Mastercard supports contactless payments and can be added to Apple Pay/Google Pay. Activate via SEB app.</t>
  </si>
  <si>
    <t>What fees apply for card replacement or reissue?</t>
  </si>
  <si>
    <t>Yes, SEB credit cards include purchase insurance covering items for 180 days worldwide, with a €30 deductible; excludes consumables, business items, misuse, war, or terrorism.</t>
  </si>
  <si>
    <t>Does SEB charge for viewing PIN in internet bank?</t>
  </si>
  <si>
    <t>No, viewing your card's PIN in the internet bank is free of charge.</t>
  </si>
  <si>
    <t>What happens if I enter wrong PIN multiple times?</t>
  </si>
  <si>
    <t>Is cash withdrawal interest-free?</t>
  </si>
  <si>
    <t>No. Cash withdrawals exceeding €750 per month incur a 2% fee (minimum €4) at SEB, SEB group (Estonia, Lithuania), and Swedbank ATMs in Latvia. Withdrawals from other banks incur a 2% fee (minimum €4).</t>
  </si>
  <si>
    <t>Can I pay the credit card from another bank's account?</t>
  </si>
  <si>
    <t>Yes, you can transfer funds from another bank to repay your SEB card. Set up a transfer to your card's repayment account/IBAN with the correct reference.</t>
  </si>
  <si>
    <t>Does SEB provide instant decisions for credit card applications?</t>
  </si>
  <si>
    <t>Can students get fee waivers or reduced card fees?</t>
  </si>
  <si>
    <t>What is the 'service plan' and does it affect card fees?</t>
  </si>
  <si>
    <t>How to dispute a card transaction or report fraud?</t>
  </si>
  <si>
    <t>Report immediately via SEB internet bank/app or call the card support hotline to block the card and start a dispute. Gather transaction details, merchant info, and file a dispute in internet bank or branch.</t>
  </si>
  <si>
    <t>Does SEB offer installment options for large purchases?</t>
  </si>
  <si>
    <t>If I move out of Latvia, can I keep the SEB card?</t>
  </si>
  <si>
    <t>Does SEB allow card renewals automatically on expiry?</t>
  </si>
  <si>
    <t>Yes — SEB generally issues a replacement card near expiry automatically and sends it to your registered address. Ensure your contact details are up to date.</t>
  </si>
  <si>
    <t>Will SEB share my credit application with credit bureaus?</t>
  </si>
  <si>
    <t>SEB uses credit checks as part of assessment and may report obligations; request your credit report and understand what is recorded.</t>
  </si>
  <si>
    <t>Is there a fee for closing a credit card/account?</t>
  </si>
  <si>
    <t>Can I request expedited card issuance?</t>
  </si>
  <si>
    <t>How to check current card fees and price list?</t>
  </si>
  <si>
    <t>Download SEB's price list from their website or ask a specialist for the latest PDF. Visit SEB 'Price list' or request at branch.</t>
  </si>
  <si>
    <t>Are refunds handled differently for credit card purchases?</t>
  </si>
  <si>
    <t>Refunds depend on merchant; request merchant to process refund; monitor your statement and contact SEB if refund not received after merchant confirmation.</t>
  </si>
  <si>
    <t>Does SEB charge for SMS or transaction notifications?</t>
  </si>
  <si>
    <t>Can I use SEB credit card to set up recurring payments/subscriptions?</t>
  </si>
  <si>
    <t>Yes — use card details for subscriptions; ensure you have sufficient credit limit and monitor automatic charges. Set up and track recurring charges in internet bank.</t>
  </si>
  <si>
    <t>Does SEB offer student loans or special student financing?</t>
  </si>
  <si>
    <t>How to change my card PIN?</t>
  </si>
  <si>
    <t>Change PIN at SEB ATM or view PIN in internet bank to reset as needed. Go to SEB ATM → Card services → Change PIN.</t>
  </si>
  <si>
    <t>After 3 incorrect PIN attempts, your card will be blocked. You can unblock it at any SEB ATM by entering the correct PIN. Usually, you can try again after a short waiting period (e.g., 24 hours). If necessary, contact SEB customer service to reset your PIN.</t>
  </si>
  <si>
    <t>Are online purchases protected by SEB card insurance?</t>
  </si>
  <si>
    <t>Yes, SEB credit card purchases, including online, are automatically insured worldwide against theft, damage, and non-delivery. No separate registration is required.</t>
  </si>
  <si>
    <t>Does SEB impose daily or per-transaction limits?</t>
  </si>
  <si>
    <t>What identification is required for in-branch card pickup?</t>
  </si>
  <si>
    <t>Bring a passport or eID and proof of address such as a utility bill or rental agreement. The branch verifies your identity before issuing the card.</t>
  </si>
  <si>
    <t>Does SEB allow cardholders to pause or suspend card fees?</t>
  </si>
  <si>
    <t>SEB does not have a public policy to pause monthly card fees. Customers experiencing difficulties can discuss temporary adjustments or hardship measures directly with SEB staff.</t>
  </si>
  <si>
    <t>How to report unauthorized transactions?</t>
  </si>
  <si>
    <t>Immediately block your card via the SEB app or internet bank, or call SEB support. Then select the transaction in your account statement and submit a dispute using the “Dispute the transaction” option.</t>
  </si>
  <si>
    <t>Can I link the credit card to Apple Pay / Google Pay?</t>
  </si>
  <si>
    <t>Yes, you can add your SEB Mastercard to Apple Pay or Google Pay. Open the SEB app → Cards → Add to mobile wallet and follow on-screen instructions.</t>
  </si>
  <si>
    <t>If I have loans or other debts, will SEB consider them?</t>
  </si>
  <si>
    <t>Yes, SEB considers existing obligations when assessing creditworthiness. Provide a full list of your debts and monthly payment obligations during application.</t>
  </si>
  <si>
    <t>Does SEB offer cardholder discounts or merchant deals?</t>
  </si>
  <si>
    <t>Can I change card billing currency?</t>
  </si>
  <si>
    <t>How to apply for a higher-tier card (Premium/World Elite)?</t>
  </si>
  <si>
    <t>Request an upgrade via the SEB internet bank or branch. SEB will assess your income and credit history. Provide proof of income and review eligibility criteria for Premium or World Elite cards.</t>
  </si>
  <si>
    <t>Is there an interest rate for unpaid balances?</t>
  </si>
  <si>
    <t>Are there different limits for contactless payments?</t>
  </si>
  <si>
    <t>Yes, contactless payments have a single-transaction limit, typically €50–€100 depending on merchant and terminal. For larger amounts, you must enter your PIN.</t>
  </si>
  <si>
    <t>Does SEB offer virtual cards for online shopping?</t>
  </si>
  <si>
    <t>Yes, SEB provides virtual cards within the app for secure online payments. Generate a virtual card number directly in the SEB app to use for online purchases.</t>
  </si>
  <si>
    <t>Can I request paperless statements only?</t>
  </si>
  <si>
    <t>Yes, you can choose electronic statements in the SEB internet bank. Access account settings to select paperless delivery for all card and account statements.</t>
  </si>
  <si>
    <t>How to change my registered address or contact details?</t>
  </si>
  <si>
    <t>Update your address and contact details in SEB internet bank or notify a branch. Provide proof of new address if required, such as a rental agreement or utility bill.</t>
  </si>
  <si>
    <t>Is there a fee if I do not use the card?</t>
  </si>
  <si>
    <t>Yes, monthly card fees apply even if the card is unused. To avoid fees, you can cancel the card or switch to a service plan that waives the monthly fee.</t>
  </si>
  <si>
    <t>Can I set transaction alerts or limits for my card?</t>
  </si>
  <si>
    <t>Yes, set push/SMS/email alerts and daily limits via the SEB internet bank or app. Configure alerts in the 'Card settings' section.</t>
  </si>
  <si>
    <t>Does SEB offer credit insurance for card repayments?</t>
  </si>
  <si>
    <t>How long before my card expires will SEB send a renewal?</t>
  </si>
  <si>
    <t>SEB automatically issues replacement cards before expiry, usually one month prior. Ensure your address is current; if not received, contact the branch.</t>
  </si>
  <si>
    <t>Can I set up autopay from my SEB current account for card repayment?</t>
  </si>
  <si>
    <t>Yes, you can set up automatic repayment from your SEB current account in the internet bank. Go to Cards → Card repayment → Autopay, and choose full balance or minimum payment to schedule recurring payments.</t>
  </si>
  <si>
    <t>Does SEB provide an English‑language service for international students?</t>
  </si>
  <si>
    <t>Yes, SEB provides services in English. You can book an English‑speaking specialist for account opening, card applications, or consultations.</t>
  </si>
  <si>
    <t>What proof of enrollment should I bring as an RTU student?</t>
  </si>
  <si>
    <t>Bring an official RTU student certificate or stamped study agreement showing enrollment dates. Ensure it is a current document and translated into English if requested by SEB.</t>
  </si>
  <si>
    <t>If my income is irregular, can I still get a card?</t>
  </si>
  <si>
    <t>Possibly. SEB assesses income stability and repayment ability. Provide 6–12 months of bank statements, employment or contract proofs to show income history. Irregular income may result in a lower approved credit limit.</t>
  </si>
  <si>
    <t>Do I need to pay tax in Latvia on foreign income to be eligible?</t>
  </si>
  <si>
    <t>Tax residency and reporting are separate from card eligibility. You do not need to pay Latvian tax on foreign income to apply, but SEB may request proof of income and tax documents to verify financial situation.</t>
  </si>
  <si>
    <t>Can SEB accept electronic copies of foreign documents?</t>
  </si>
  <si>
    <t>Yes, SEB accepts scanned copies for remote onboarding, but originals may be required for final verification at a branch or during card pickup.</t>
  </si>
  <si>
    <t>What is the process for cancelling a lost/stolen card?</t>
  </si>
  <si>
    <t>Immediately block the card via SEB app or internet bank, or call SEB support. Request a replacement card, note recent transactions, and submit a dispute for any unauthorized transactions.</t>
  </si>
  <si>
    <t>If I am refused, can I reapply later?</t>
  </si>
  <si>
    <t>Yes. After improving your documentation or income situation, you can reapply. SEB may provide guidance on reasons for refusal and what documents or information to improve before reapplying.</t>
  </si>
  <si>
    <t>Does SEB charge for inbound refunds/chargebacks?</t>
  </si>
  <si>
    <t>No, SEB does not charge fees for reviewing complaints, refunds, or chargebacks. Submitting a dispute for a refund via internet bank or branch is free of charge.</t>
  </si>
  <si>
    <t>How to find SEB branch locations and opening hours in Riga?</t>
  </si>
  <si>
    <t>SEB branches in Riga are listed on the SEB internet bank and mobile app. You can search by city or district to find the nearest branch and its opening hours.</t>
  </si>
  <si>
    <t>Are there fees for card POS refunds in foreign currency?</t>
  </si>
  <si>
    <t>SEB does not charge a separate fee for POS refunds. Currency conversion may apply if the refund is in a foreign currency, depending on Mastercard’s exchange rate.</t>
  </si>
  <si>
    <t>Does using the card abroad trigger fraud alerts or blocks?</t>
  </si>
  <si>
    <t>Large or unusual foreign transactions may trigger fraud protection. Notify SEB of travel plans in advance via the app or internet bank to reduce the risk of temporary card blocks.</t>
  </si>
  <si>
    <t>Can I add authorized users with separate spending limits?</t>
  </si>
  <si>
    <t>Yes, you can request supplementary cards. The main cardholder remains responsible, but you can set separate spending limits for each supplementary card via branch or internet bank.</t>
  </si>
  <si>
    <t>How to check my available credit limit online?</t>
  </si>
  <si>
    <t>Log in to SEB internet bank or mobile app → Cards → Credit limit. The available limit and statement balance are displayed in real time.</t>
  </si>
  <si>
    <t>Can I use SEB card for contactless transport payments?</t>
  </si>
  <si>
    <t>Yes, SEB cards can be used for contactless transport payments wherever Mastercard contactless is accepted. Ensure contactless payments are activated in your card settings.</t>
  </si>
  <si>
    <t>Does SEB have different terms for EU vs non‑EU residents?</t>
  </si>
  <si>
    <t>What is the typical first‑time credit limit for new customers?</t>
  </si>
  <si>
    <t>For new Standard credit cards, SEB typically starts with a limit of around €350. The exact limit depends on income, creditworthiness, and other obligations.</t>
  </si>
  <si>
    <t>Does SEB offer loyalty programs or points for card spend?</t>
  </si>
  <si>
    <t>How to change card spending limits or daily cash limits?</t>
  </si>
  <si>
    <t>Submit a limit change request via SEB internet bank or at a branch. SEB evaluates the request and may require proof of income or documentation for higher limits.</t>
  </si>
  <si>
    <t>Where can I download the full card terms and insurance policies?</t>
  </si>
  <si>
    <t>SEB provides card terms and insurance policies in PDF format. Request the documents from SEB directly at account opening or download them via the internet bank.</t>
  </si>
  <si>
    <t>1) Prepare documents: passport, residence permit (if non‑EEA), RTU enrollment letter, rental agreement, 3–6 months bank statements, proof of income. 2) Book a branch or video meeting with an English‑speaking specialist. 3) Open a current account. 4) Apply for Mastercard Standard via internet bank or with the specialist. 5) If approved, select delivery method and activate the card. 6) Keep documents and review insurance terms.</t>
  </si>
  <si>
    <t>Standard: €2.50/month (~€30/year), Premium: €3.60/month (~€43/year), World Elite: €35/month (~€420/year). The annual fee is represented by the effective interest rate applied to the utilized credit limit. Unpaid balances accrue interest at ~18% per year.These fees apply unless you have a service plan that waives the monthly fee.</t>
  </si>
  <si>
    <t>SEB Mastercard World Elite offers 12 free Priority Pass lounge visits annually, 5 free Fast Track security checks per year, and exclusive travel and lifestyle discounts via Mastercard Priceless. Premium and Gold cards provide 5 free Fast Track airport checks per year and lounge access for delays over 2 hours through the Flight Delay Pass. Active SEB customers receiving their salary into a SEB account enjoy additional discounts and reduced fees on certain services.</t>
  </si>
  <si>
    <t>Insurance covers theft or damage. And SEB credit cards also offer purchase insurance that covers non-delivery of goods. This insurance is valid for 180 days from the date of purchase and applies worldwide, including online purchases. To qualify for a claim, the purchased item must be delivered to you, and the insurance covers situations where the seller fails to deliver the goods as agreed. Please note that a deductible of €30 applies to each claim.</t>
  </si>
  <si>
    <t>SEB credit cards offer free cash withdrawals up to €750 per month at SEB and Swedbank ATMs in Latvia. Withdrawals exceeding this limit incur a 2% fee (minimum €4). At ATMs of other banks, the fee is also 2% (minimum €4). For cash withdrawals at business operators' outlets, the same fee structure applies.</t>
  </si>
  <si>
    <t xml:space="preserve">Yes, SEB allows additional cards for relatives. Main cardholder is responsible for charges. </t>
  </si>
  <si>
    <t>card preparation (€2.50–€5), card replacement (€15–€35), delivery (€1 within Latvia, €10 abroad, €2.30 to parcel machines), cash withdrawals (free up to €750/month at SEB/Swedbank ATMs, 2% above €750 or at other banks), credit interest 18% per year, late payment interest 36% per year, and €10 for in-person contract changes (free online).</t>
  </si>
  <si>
    <t>SEB card replacement/reissue delivery fees: within Latvia €1, international €10, self-pickup from Latvian ATM €2.30. Fees are for delivery only; card replacement fees will be €15 for standard or premium cards and  €35 for world elite card. For all card types, if activated through the internet bank, mobile app, or ATM, the replacement fee may vary.</t>
  </si>
  <si>
    <t>Some decisions can be fast, but full verification (foreign income/residence) may take longer. SEB does not give instant credit card decisions. Applications are processed on the same or next working day depending on submission time. Urgent card orders placed before 12:00 may be ready for pickup after 16:00 the same day; otherwise, next business day. Apply online or in branch and ask a specialist for the expected timeframe.</t>
  </si>
  <si>
    <t>SEB does not offer specific fee waivers or reduced fees for students applying for credit cards. However, students may benefit from SEB's Active Plan, which waives the monthly fee for the Mastercard Standard credit card. To qualify for the Active Plan, students need to have their salary credited to their SEB account.</t>
  </si>
  <si>
    <t>SEB service plans are monthly packages that bundle banking services, including credit cards, for a fixed fee. For example, the Active Plan (€4/month) includes a Mastercard Standard with no monthly card fee, unlimited transfers, and digital banking tools, suitable for customers making more than 10 payments per month. The Family Plan (€5/month) also includes a Mastercard Standard with no card fee, unlimited transfers, and can cover up to 6 members under one fee (only one pays).</t>
  </si>
  <si>
    <t>SEB Bank in Latvia allows large purchases to be paid in installments using credit cards. Cardholders can repay gradually (e.g., 5% per month), or use a consumer loan (€1,000–€20,000) with fixed interest and flexible terms up to 7 years.</t>
  </si>
  <si>
    <t>You can keep your SEB credit card after moving abroad if you maintain a connection to Latvia (residence, employment, or family ties). The card can be used internationally, and delivery abroad is possible for a €10 fee. Note: SEB does not issue or renew cards for customers in Russia or Belarus.</t>
  </si>
  <si>
    <t>Closing a SEB credit card account has no fee, but any outstanding balance must be fully repaid. Make sure all balances are cleared before closing.if you have multiple credit cards linked to the same account, activating any one of them will invalidate all the others. Therefore, it's advisable to ensure that all balances are cleared and that you activate the remaining valid card before closing the account.</t>
  </si>
  <si>
    <t>SEB Latvia allows expedited credit card issuance. You can get a temporary card the same day if ordered before 12:00, or the next business day after 12:00, at a SEB service center. Cards can also be sent by post (€1 in Latvia, €10 abroad) or via Omniva parcel machines (€2.30). Cards are usually delivered by post within a few days in Latvia or up to 14 working days internationally.</t>
  </si>
  <si>
    <t>Yes, SEB Latvia charges for SMS and email notifications through its SMS Bank service. Each SMS or email message costs €0.13. There is no monthly subscription fee, and you can customize the types of notifications you wish to receive, such as transaction alerts or e-invoices. These fees are deducted daily from your account.</t>
  </si>
  <si>
    <t>SEB Latvia offers student financing through a Student Loan (€2,000–€15,000, 4% + 6-month EURIBOR, up to 10 years, repayment starts 12 months after graduation, €8 processing fee) and Consumer Loans (€1,000–€20,000, from 7.9% interest, 1–7 years). Applications can be made via SEB Internet Bank or branches.</t>
  </si>
  <si>
    <t>Yes, SEB Latvia credit cards have a standard daily transaction limit of €5,000 for purchases. Limits can be increased by contacting SEB, with a €10 fee for exceeding the standard maximum (e.g., Mastercard World Elite). Limits can also be managed via SEB Internet Bank or mobile app.</t>
  </si>
  <si>
    <t>Yes, Mastercard Standard includes travel insurance (up to 60 days), purchase protection, Mastercard Priceless discounts, Priority Pass lounge access, Fast Track security, and deals on hotels, car rentals, and dining. Mastercard Premium adds enhanced travel insurance, extended purchase protection, and personalized travel services. Mastercard World Elite provides comprehensive travel insurance, extended warranty, Priority Pass and Fast Track access, luxury travel and dining discounts, and special event access through Priceless.</t>
  </si>
  <si>
    <t>SEB cards are generally euro-denominated.and the billing currency cannot be changed after issuance. If you require a card billed in a different currency, you would need to apply for a new card with the desired billing currency. Please note that currency conversion fees may apply when transactions are made in a currency different from the card's billing currency. For example, a 3% surcharge applies when the transaction currency differs from the card's main account currency.</t>
  </si>
  <si>
    <t>Yes, unpaid credit card balances accrue interest immediately. For SEB credit cards, the annual interest rate is approximately 18% per year, but the exact rate depends on your card and SEB’s current terms.</t>
  </si>
  <si>
    <t>SEB Latvia does not offer credit insurance for credit card repayments. Cardholders can, however, benefit from purchase insurance (covering items bought with the card for up to 180 days) and travel insurance (for trips up to 60 days worldwide, excluding Russia, Belarus, Ukraine, and Israel). For loan repayment coverage, SEB provides Loan Payment Insurance for housing loans.</t>
  </si>
  <si>
    <t>Yes. Non‑EEA residents must provide a valid residence permit and additional KYC(Know Your Customer) documents during account opening. EU/EEA residents provide standard ID documents.</t>
  </si>
  <si>
    <t>SEB Latvia does not offer a traditional loyalty points program for its credit cards. However, cardholders can benefit from various discounts and exclusive offers through the Mastercard Priceless program. This program provides access to special deals in travel, dining, shopping, and entertainment. Specific offers include discounts on car rentals, hotel stays, and access to exclusive events. For example, Mastercard World Elite cardholders can enjoy 10% off Hertz rentals, 15% off easyJet flights, and special rates at Preferred Hotels &amp; Resorts.</t>
  </si>
  <si>
    <t>Can you summarise the exact steps I should take to apply for a SEB credit card as an RTU master student?</t>
  </si>
  <si>
    <t>During the appointed meeting, the consultant might evaluate my possibility
of becoming a client. If the result is not as expected, the consultant might not recommend me to apply the credit card, right?</t>
  </si>
  <si>
    <t>deepseek_text0</t>
  </si>
  <si>
    <t>Yes, you can apply for a credit card as a master student at Riga Technical University.
To apply, you will need to provide the following documents:
Your passport
Your RTU student certificate (proof of enrollment)
Your residence permit (required for non-EEA residents like yourself)
Recent bank statements (3-6 months)
Proof of your part-time income from China (bring contracts, invoices, and bank statements; translations may be needed)
The process is to first open an SEB current account, and then you can apply for the credit card. You can apply online or at a branch. It is recommended to book a meeting with an English-speaking specialist who can guide you through the process.</t>
  </si>
  <si>
    <t>You can open an SEB account in one of three ways:
Use the SEB mobile app to start the process remotely.
Book a video meeting with a specialist.
Visit an SEB branch in person.</t>
  </si>
  <si>
    <t>As an international student from China, you will need to provide the following documents to open the account:
Your passport
Your residence permit
Your RTU study agreement or student certificate (as proof of enrollment)
Proof of your address in Latvia (such as a rental agreement)
Your phone number and email address
After your account is opened, you can then proceed to apply for a credit card.</t>
  </si>
  <si>
    <t>Yes, based on your situation as a student from China, you are missing a few important documents. For a complete application, you should also provide:
Your RTU student certificate or stamped study agreement as proof of enrollment.
Recent bank statements (3-6 months).
Proof of your part-time income from China. This can include contracts, invoices, and bank statements. Notarized translations may be required.
So, in addition to your passport, residence permit, and rental agreement, please bring the documents listed above.</t>
  </si>
  <si>
    <t>Yes, that is correct.
You should first schedule a video meeting or visit an SEB branch to speak with a specialist. They will guide you through the process of opening a current account.
Once your account is successfully opened and you have your client status, you can then discuss and submit your application for a credit card with the same specialist. They will handle both steps.</t>
  </si>
  <si>
    <t>Of course. The normal procedure for getting an SEB credit card is as follows:
Open an SEB Account: You must first become an SEB client by opening a current account.
Submit Application: Once your account is active, you can submit a credit card application. This can be done online via the SEB internet bank or at a branch with a specialist.
Wait for Approval: SEB will assess your application. This is not an instant decision and may take a day or more, especially for cases with foreign income.
Receive and Activate Card: After approval, your card will be mailed to you (usually within 3–14 days) or you can pick it up. You then need to activate the card.</t>
  </si>
  <si>
    <t>Certainly. Here are the normal monthly and annual fees for different SEB credit cards:
Mastercard Standard: €2.50 per month (approximately €30 per year).
Mastercard Premium: €3.60 per month (approximately €43 per year).
Mastercard World Elite: €35 per month (approximately €420 per year).
Important Note: The annual fee is represented by the effective interest rate applied to the utilized credit limit. Unpaid balances accrue interest at approximately 18% per year.
These monthly card fees can be waived if you have a suitable SEB service plan, such as the Active Plan, which requires you to have your salary credited to your SEB account.</t>
  </si>
  <si>
    <t>Yes, SEB has promotional offers that vary by card type:
Mastercard World Elite: Offers 12 free Priority Pass lounge visits per year, 5 free Fast Track security checks per year, and exclusive travel and lifestyle discounts via the Mastercard Priceless program.
Mastercard Premium and Gold Cards: Provide 5 free Fast Track airport checks per year and complimentary lounge access through the Flight Delay Pass if your flight is delayed for over 2 hours.
Additionally, active SEB customers who receive their salary into a SEB account enjoy extra discounts and reduced fees on certain services.</t>
  </si>
  <si>
    <t>Your part-time income from China can be accepted for the credit card application, as long as it is verifiable.
To ensure it is considered, you should provide the following documents to support your income:
Employment contracts or invoices.
Recent bank statements (3-6 months) showing the income deposits.
If these documents are not in English or Latvian, it is highly recommended to provide notarized translations. SEB will review this foreign income as part of their overall assessment of your financial situation and repayment ability.</t>
  </si>
  <si>
    <t>Yes, the purchase insurance on SEB credit cards specifically covers non-delivery of goods.
Here are the key details:
It covers situations where the seller fails to deliver the goods as agreed.
The insurance is valid for 180 days from the purchase date, worldwide, and includes online purchases.
To qualify for a claim, the purchased item must have been dispatched and be en route to you; it does not cover items that were never sent.
A deductible of €30 applies to each successful claim.
So, if you pay with your SEB credit card and the item does not arrive, you are protected by this insurance.</t>
  </si>
  <si>
    <t>Yes, that is absolutely correct.
Having a stable job with a stable income in Latvia significantly improves your chances of approval for an SEB credit card. It demonstrates a reliable repayment ability to the bank.
Furthermore, a stable local income may also allow you to be approved for a higher credit limit compared to someone with an irregular or foreign income.</t>
  </si>
  <si>
    <t>After your application is approved, the physical card is mailed to you within a few days.
The total delivery time usually ranges from 3 to 14 days, depending on the verification process and the postal service.
If you need the card urgently, you can request expedited issuance. If you order a card before 12:00, you may be able to pick up a temporary card at a SEB service center after 16:00 the same day.</t>
  </si>
  <si>
    <t>Yes, there is a mailing fee for sending the card, depending on the delivery method you choose:
Within Latvia: €1
To a parcel machine in Latvia (e.g., Omniva): €2.30
Abroad: €10
These fees are for the delivery service only. Please note that there is a separate card replacement fee if you are getting a new card for any reason other than a standard renewal.</t>
  </si>
  <si>
    <t>Yes, it can have an indirect effect.
While the rejection itself is not shared with other banks, the credit check that SEB performs as part of your application may appear in your credit bureau records.
If Swedbank also checks your credit history, they will see that SEB recently made an inquiry. Multiple applications in a short period can be visible to lenders and may influence their decision, as it can suggest you are seeking credit heavily.
It is advisable to understand and fix any issues that led to the rejection with SEB before applying at another bank like Swedbank.</t>
  </si>
  <si>
    <t>Yes, you have summarized the process correctly.
To be precise:
Book a Meeting: Schedule a video or branch appointment with an SEB specialist.
Check Info &amp; Prepare: Review the requirements and prepare your documents (passport, residence permit, RTU certificate, rental agreement, bank statements, and proof of income from China).
Talk with the Specialist: Discuss your situation. The specialist will guide you through opening an account (the first necessary step) and then the credit card application.
Get the Decision: After applying, SEB will assess your application. The specialist can inform you of the expected timeframe for a decision, which is not instant.
Following these steps is the recommended way to proceed. The consultant can also advise you on your eligibility during the meeting.</t>
  </si>
  <si>
    <t>For opening an account as an international student from China, you will need to provide the following specific documents:
Passport/ID: Your valid passport.
Residence Permit: Your valid Latvian residence permit.
Proof of Enrollment: Your official RTU student certificate or stamped study agreement.
Proof of Address: A document showing your Latvian address, such as your rental agreement.
Contact Information: Your phone number and email address.
These documents are required to establish your identity, legal status, and residence in Latvia.</t>
  </si>
  <si>
    <t>SEB does not offer a specific credit card product labeled as a "student credit card."
As a student, you would apply for the same standard credit cards that are available to all customers, primarily the Mastercard Standard or Mastercard Premium.
Therefore, there is no difference in the card itself. The difference lies in the application process, where students need to provide their student certificate as proof of enrollment along with their other documents.</t>
  </si>
  <si>
    <t>A newly issued SEB credit card typically has a validity period of 2 to 5 years, with 3 years being very common.
You can find the exact expiry date printed on the front of the card itself (in the MM/YY format). SEB will automatically issue and send you a replacement card before your current one expires.</t>
  </si>
  <si>
    <t>Yes, apart from the monthly fee, several other fees can apply to SEB credit cards. Here is a summary:
Card Issuance/Preparation: €2.50 – €5
Card Replacement: €15 for Standard/Premium, €35 for World Elite
Delivery:
Within Latvia: €1
Abroad: €10
To a parcel machine in Latvia: €2.30
Cash Withdrawals:
Free up to €750 per month at SEB/Swedbank ATMs in Latvia.
2% fee (minimum €4) for amounts over €750 or at other banks' ATMs.
Interest:
Credit Interest: ~18% per year on unpaid balances.
Late Payment Interest: 36% per year.
Other Services: €10 fee for making contract changes in person (this is free if done online).</t>
  </si>
  <si>
    <t>Yes, that is absolutely correct.
Based on the initial evaluation of your documents (such as your proof of income from China, residence status, and overall financial profile), the SEB consultant may advise you not to apply for a credit card at that time.
They might suggest that you first improve your application by:
Providing more substantial or verifiable proof of income.
Building a longer positive history with your SEB account.
Improving your overall credit profile.
This advice is given to prevent a likely rejection, which would leave a record on your credit history. It is in your best interest to follow their guidance.</t>
  </si>
  <si>
    <t>Documents can generally be submitted online, but there is an important condition for your situation.
Online Submission: You can upload the required documents digitally through the SEB app or during a video meeting.
In-Person Requirement: However, for non-residents or for final identity verification, SEB may require you to visit a branch in person.
Since you are an international student from China (a non-EEA resident), it is highly likely that you will need to complete the final step at a branch. The specialist you book the meeting with will confirm if your specific case requires an in-person visit.</t>
  </si>
  <si>
    <t>SEB does not assign a specific "interest-free credit limit" for its Standard or Premium cards. Instead, the interest-free benefit is based on your payment behavior, not a separate limit.
Here is how it works for all SEB credit cards:
You receive a monthly statement with a due date.
You have up to 45 interest-free days on purchases.
To avoid paying any interest, you must pay the full statement balance by the due date.
If you do not pay the full balance, interest (approximately 18% per year) is charged on the remaining amount from the purchase date. There is no interest-free period for cash withdrawals; interest on them starts accruing immediately.</t>
  </si>
  <si>
    <t>No, an SEB credit card is designed for borrowing funds up to your approved credit limit and does not have a debit function to spend your own money.
To use your own funds for payments and withdrawals, you need to order a separate SEB debit card, which will be linked directly to your current account balance.</t>
  </si>
  <si>
    <t>Based on the provided information, there are no specific promotional offers listed that are exclusively for first-time cardholders.
The promotional benefits are tied to the type of card you get (Standard, Premium, or World Elite) and your status as an active customer (e.g., having your salary deposited with SEB).
These benefits include:
Priority Pass lounge visits and Fast Track security (World Elite).
Travel and lifestyle discounts via Mastercard Priceless (all cards).
Potential fee waivers if you have a service plan like the Active Plan.
For the most current and specific first-time applicant offers, it's best to ask the SEB specialist directly during your meeting.</t>
  </si>
  <si>
    <t>Yes, SEB credit cards (which are Mastercards) are accepted worldwide, wherever Mastercard is accepted. This includes both within and outside the EU.
However, when using your card abroad, you should:
Inform SEB of your travel plans beforehand via the app or internet bank to prevent your card from being blocked due to suspicious foreign transactions.
Be aware that while the card is accepted, international transaction fees may apply. For example, a 3% currency conversion surcharge is typical for transactions in a currency different from the card's billing currency (Euro).</t>
  </si>
  <si>
    <t>To increase your SEB credit card limit, you should take the following steps:
Provide updated proof of income: Show that your income has increased since you first applied.
Demonstrate a positive repayment history: Maintain 6–12 months of timely, full repayments on your current card.
Transfer your salary to SEB: Having your salary deposited into your SEB account strengthens your relationship with the bank.
Submit a formal request: You can request a credit limit increase online via the SEB internet bank or by visiting a branch and speaking with a specialist.
The bank will review your request based on these factors, and a higher service plan (like Premium) may also be required for very high limits.</t>
  </si>
  <si>
    <t>To request a significant limit increase from €5,000 to €10,000, you need to provide strong evidence of your financial capacity. Here is what you should do:
Substantially Higher Documented Income: You must show a significant and stable increase in your income since the initial limit was set. Prepare recent payslips or bank statements covering the last 6–12 months as proof.
Long Positive Repayment History: Demonstrate a consistent history of making full, on-time payments on your existing €5,000 limit for at least 6–12 months.
Upgrade Your Service Plan: A higher limit like €10,000 may require you to have a premium service plan (e.g., for a Mastercard Premium or World Elite card).
Formal Request with a Specialist: Submit a formal limit increase request via the SEB internet bank or, more effectively, schedule a meeting with an SEB specialist. Bring your documented income and repayment history for their review.</t>
  </si>
  <si>
    <t>deepseek_text1</t>
  </si>
  <si>
    <t>Yes, you can apply. You will need your passport, RTU student certificate, residence permit, proof of address, and recent bank statements.</t>
  </si>
  <si>
    <t>You muYou can open an account using the SEB app, booking a video meeting, or by visiting a branch.st become an SEB client first. After opening an account, you can then apply for the credit card.</t>
  </si>
  <si>
    <t>You need your passport/ID, residence permit or study agreement, proof of address, and proof of income.</t>
  </si>
  <si>
    <t>Yes, you are missing a few items. You will also need your RTU student certificate, recent bank statements, and proof of income.</t>
  </si>
  <si>
    <t>Yes, that's correct. Schedule a video or branch meeting first; the specialist will guide you through both steps.</t>
  </si>
  <si>
    <t>Open an SEB account.
Submit a credit card application online or at a branch.
Wait for approval.
Receive and activate your card.</t>
  </si>
  <si>
    <t>Standard: €2.50/month. Premium: €3.60/month. World Elite: €35/month. Annual fees are the monthly fee times twelve.</t>
  </si>
  <si>
    <t>Yes. Promotional offers include free airport lounge visits, Fast Track security checks, and travel discounts, especially with the World Elite card.</t>
  </si>
  <si>
    <t>No, foreign income is accepted if you can verify it with contracts and bank statements. Translations may be needed.</t>
  </si>
  <si>
    <t>Yes, purchase insurance covers non-delivery of goods for 180 days from purchase, with a €30 deductible per claim.</t>
  </si>
  <si>
    <t>Yes, a stable local income significantly improves your approval chances and may allow for a higher credit limit.</t>
  </si>
  <si>
    <t>It usually takes 3 to 14 days after approval, depending on verification and postal delivery.</t>
  </si>
  <si>
    <t>Yes. Mailing fees are €1 within Latvia, €10 abroad, and €2.30 to a parcel machine.</t>
  </si>
  <si>
    <t>Not directly, but the credit check may appear on your record. It's best to fix any issues before applying elsewhere.</t>
  </si>
  <si>
    <t>Yes, that is the correct procedure.</t>
  </si>
  <si>
    <t>You need your passport/ID, residence permit, proof of enrollment at RTU, proof of address, and your contact details.</t>
  </si>
  <si>
    <t>SEB does not have a specific student credit card. Students apply for the standard or premium cards.</t>
  </si>
  <si>
    <t>A newly issued SEB credit card is typically valid for 2 to 5 years, most commonly 3 years. The exact expiry date is printed on the card.</t>
  </si>
  <si>
    <t>Yes, other fees include:
Card issuance (€2.50–€5)
Replacement (€15–€35)
Cash withdrawal fees (2% over €750/month)
Interest on unpaid balances (~18% per year)
Late payment fees</t>
  </si>
  <si>
    <t>Yes, that is correct. The consultant may advise you to improve your financial profile first.</t>
  </si>
  <si>
    <t>You can upload documents online via the SEB app or during a video meeting. In some cases, a branch visit may be required for identity verification.</t>
  </si>
  <si>
    <t>SEB offers up to 45 days interest-free on purchases for all card types, but only if you pay the full statement balance by the due date.</t>
  </si>
  <si>
    <t>No, a credit card is for borrowing. To use your own funds, you need a separate debit card linked to your account.</t>
  </si>
  <si>
    <t>SEB does not typically advertise special "first-time" cardholder offers. Their main promotions are the ongoing benefits like lounge access and travel discounts with their premium cards.</t>
  </si>
  <si>
    <t>Yes, SEB Mastercard credit cards are accepted worldwide.</t>
  </si>
  <si>
    <t>To increase your limit, provide updated proof of income, show a history of timely repayments for 6-12 months, and submit a formal request online or at a branch.</t>
  </si>
  <si>
    <t>You need higher documented income and a longer positive repayment history. Prepare 6-12 months of payslips and request a review with a SEB specialist.</t>
  </si>
  <si>
    <t>gpt120p_text0</t>
  </si>
  <si>
    <t>**Yes – you can apply for a SEB credit card while you are a master’s student at Riga Technical University, even if you are a Chinese citizen.**  
Here’s what you need to do and which documents you must bring:
| Step | What to do | Documents / Proof needed |
|------|------------|---------------------------|
| **1. Become a SEB client** | You must open a current account with SEB before you can apply for a credit card. You can do this online, via the SEB app, or during a video/branch meeting. | • Passport (or Chinese ID)  &lt;br&gt;• Valid residence permit **or** a study‑visa/letter confirming your right to stay in Latvia &lt;br&gt;• Proof of address in Latvia (rental agreement, utility bill) |
| **2. Gather student‑related documents** | These prove you are enrolled at RTU. | • Official RTU student certificate or stamped study agreement showing your master‑program and enrollment dates (English translation if the document is in Latvian) |
| **3. Provide income / financial proof** | SEB needs to see that you have sufficient means to repay any credit you use. | • Recent bank statements (last 3–6 months) from your Chinese bank account **and** a translation/notarisation if the statements are not in English/Latvian. &lt;br&gt;• Proof of income – e‑g, employment contract, freelance invoices, or scholarship award letters. If the income is from China, bring the contracts/invoices and, if possible, an employer‑letter confirming the amount. |
| **4. Schedule a meeting with a specialist** | A short video call or an in‑branch appointment (English‑speaking staff are available for international students). The specialist will verify your documents and guide you through the credit‑card application. | Bring the originals (or certified copies) of the items above; you can also upload scanned copies beforehand via the SEB app, but be prepared to show the originals at the meeting/pick‑up. |
| **5. Apply for the card** | After your account is opened, you can request a Mastercard Standard (or a higher tier if you qualify). The application can be submitted in the internet bank or directly with the specialist. | No extra paperwork beyond what’s listed. |
| **6. Card delivery &amp; activation** | Choose delivery (mail €1 within Latvia, €10 abroad, or pick‑up at a parcel machine for €2.30). Once you receive it, activate it through the SEB app or internet banking. | Activation PIN will be sent with the card or can be set in the app. |
### Quick checklist for you
1. **Passport** (Chinese)  
2. **Residence permit / study‑visa** (if you’re a non‑EEA resident)  
3. **RTU enrollment certificate / study agreement** (official, current)  
4. **Rental agreement / proof of address in Latvia**  
5. **3–6 months of Chinese bank statements** (translated if needed)  
6. **Proof of income** (employment contract, freelance invoices, scholarship letter)  
Once you have these, book a video or in‑branch appointment, open the account, and then submit the credit‑card application. The process usually takes a few days to a couple of weeks, depending on verification speed.
**Bottom line:** Being a master’s student at RTU and a Chinese citizen does not prevent you from getting a SEB credit card; just make sure you have the documents listed above and complete the client‑onboarding step first.</t>
  </si>
  <si>
    <t>### How to Become an SEB Client (open a current account)
You can start the onboarding completely on‑line or combine it with a brief in‑person step. Here’s the straightforward path:
| Step | What to do | How to do it |
|------|------------|--------------|
| **1. Choose your onboarding channel** | • **SEB mobile app** (quickest)  &lt;br&gt;• **Video meeting** with a specialist  &lt;br&gt;• **Visit a branch** in person | Download the **SEB Latvia app** from the App Store/Google Play, or call the SEB call centre to book a video appointment. |
| **2. Prepare the required documents** | • **Passport** (or Chinese ID)  &lt;br&gt;• **Residence permit / study‑visa** (if you are a non‑EEA resident)  &lt;br&gt;• **Proof of address** (rental agreement, utility bill)  &lt;br&gt;• **Proof of income** (employment contract, scholarship letter, freelance invoices)  &lt;br&gt;• **Student certificate** (if you are a student) | Scan or photograph the documents in good quality; you can upload them directly in the app or have them ready for the video/branch meeting. |
| **3. Submit the application** | • **Through the SEB app** – go to *Accounts → Open a new account* and follow the prompts, attaching the scanned documents.  &lt;br&gt;• **Via video meeting** – the specialist will walk you through the form and collect the uploaded files.  &lt;br&gt;• **In‑branch** – hand the originals (or certified copies) to the teller. | The system will perform an automated KYC check; the specialist may ask for a short additional verification if needed (e.g., selfie with passport). |
| **4. Wait for verification** | Typical turnaround is **same‑day to 2 business days** for residents; a few days longer for non‑residents requiring extra paperwork. | You’ll receive a notification in the app/email when the account is approved. |
| **5. Activate your account** | Once approved, you’ll get your IBAN and can start using the account via internet banking or the SEB app. | Set up your login credentials, enable two‑factor authentication, and add the account to your preferred payment methods. |
| **6. (Optional) Order a debit/credit card** | After the account is live, you can request a **debit card** instantly in the app, or start the **credit‑card** application (Standard, Premium, or World Elite). | Card ordering is done under *Cards → Order new card*; choose delivery method (mail, parcel machine, or pick‑up). |
#### Quick checklist for you (master’s student from China)
1. **Passport**  
2. **Residence permit / study visa** (if you’re not an EU/EEA citizen)  
3. **Rental agreement** (Latvian address)  
4. **RTU enrollment certificate**  
5. **Proof of income** (salary slip, scholarship letter, or freelance invoices)  
You can **book a video meeting** in the app (English‑speaking specialist available) if you prefer not to travel to a branch right away. Once the current account is opened, you’ll be a full SEB client and eligible to apply for a credit card.</t>
  </si>
  <si>
    <t>### Documents Required to Become an SEB Client  
| Document | Why SEB asks for it | Typical format you should provide |
|----------|--------------------|-----------------------------------|
| **Passport or national ID** | Primary proof of identity (KYC). | Original passport (or ID) plus a clear scanned copy. |
| **Residence permit **or** study agreement** | Shows you have a legal right to stay in Latvia (required for non‑EEA residents). | • Valid residence permit (photo page). &lt;br&gt;• If you are a student, an official **RTU enrollment certificate / signed study agreement** showing your study period. |
| **Proof of address** | Verifies where you live for correspondence and card delivery. | Recent **rental agreement**, utility bill, or official letter (bank/municipality) that includes your name and Latvian address (dated within the last 3 months). |
| **Proof of income** | SEB needs to assess your ability to repay any credit you may use. | • Latest **pay slips** (last 2‑3 months) or **salary certificate** from employer. &lt;br&gt;• If you are self‑employed or receive income from abroad, provide **contracts/invoices** and **bank statements** showing the incoming funds (translated if not in English/Latvian). |
| **(Optional) Additional student documents** | Needed only if you want to highlight student status for possible fee waivers. | Official **RTU student certificate** (current, stamped). |
#### How to submit them
- **Via the SEB mobile app** – upload clear scans or photos of each document in the “Open Account” flow.  
- **During a video meeting** – share the scanned files in the chat and have the originals ready for a final verification step.  
- **In‑branch** – bring the originals (or certified copies) and the staff will scan them for you.
Once these documents are verified, SEB will create your current account and you’ll become an official SEB client, after which you can proceed to request a debit or credit card.</t>
  </si>
  <si>
    <t>Your list (**residence permit + rental agreement + passport**) covers the basic identity and address requirements, but a few more items are required for a smooth SEB credit‑card application as a master’s student:
| Required document | Why it’s needed |
|-------------------|-----------------|
| **RTU enrollment certificate / study agreement** | Confirms you are officially registered at Riga Technical University (master’s program). |
| **Recent bank statements (last 3–6 months)** | Shows your current financial situation and that you have a regular inflow of funds. |
| **Proof of income** (employment contract, scholarship award letter, freelance invoices, etc.) | SEB needs to verify that you have the means to repay any credit you use. If your income is from China, provide translated copies and, if possible, an employer‑letter. |
| **Passport** | Primary identification document (you already have this). |
| **Residence permit** (or study‑visa for non‑EEA citizens) | Confirms your legal right to stay in Latvia. |
| **Rental agreement / proof of address** | Verifies where you live in Latvia. |
### Summary of what you still need
1. **RTU student certificate** (official and current).  
2. **Bank statements** (3–6 months).  
3. **Proof of income** (contract, scholarship letter, invoices, etc.).  
Once you have those together with the passport, residence permit, and rental agreement, you can schedule a video or in‑branch meeting with an SEB specialist, open a current account, and then apply for the credit card.</t>
  </si>
  <si>
    <t>### Yes – the recommended sequence is:
1. **Contact a SEB specialist first** (via the SEB app, a video meeting, or a branch visit).  
2. **Become an SEB client** by opening a current account. The specialist will verify your passport, residence permit, RTU enrollment, address and income documents.  
3. **After the account is created**, you can discuss the **credit‑card application** with the same specialist. They will then check your eligibility, suggest a suitable card tier, and start the credit‑card request.
This two‑step approach (client onboarding → credit‑card discussion) is exactly what the information you gave states. It ensures the bank has all required KYC documentation before evaluating any credit request.</t>
  </si>
  <si>
    <t>### Typical SEB Credit‑Card Process – Step‑by‑Step
| Step | What Happens | What You Need to Do |
|------|--------------|---------------------|
| **1️⃣ Become an SEB client (open a current account)** | SEB must have you on its customer list before issuing a credit product. | Use the SEB app, book a video meeting, or visit a branch. Bring the standard onboarding documents (passport, residence permit or study agreement, proof of address, proof of income, and, if you’re a student, the RTU enrollment certificate). |
| **2️⃣ Choose the card you want** | SEB offers three Mastercard tiers: **Standard**, **Premium**, and **World Elite**. | Decide based on desired benefits, fees, and your income/credit profile. |
| **3️⃣ Submit the credit‑card application** | The specialist (or the app) captures your personal data, credit‑limit request, and runs a credit‑bureau check. | • Fill the application form online or with the specialist. &lt;br&gt;• Indicate the requested limit (you can start with the default ~€350). |
| **4️⃣ Document verification &amp; credit assessment** | SEB verifies identity, income, and checks your credit history. | If any document is missing (e.g., proof of income), the specialist will ask you to upload it. |
| **5️⃣ Decision** | Most decisions are made **the same day** or **next business day** (faster if all docs are complete). | You receive a notification in the app/email: **Approved** → move to step 6; **Rejected** → you’ll get a reason and can re‑apply after improving the issues. |
| **6️⃣ Card issuance &amp; delivery** | SEB prepares the physical card. | Choose delivery method: &lt;br&gt;• Postal mail (€/1 in Latvia, €10 abroad, €2.30 to an Omniva parcel machine) &lt;br&gt;• Same‑day pick‑up at a SEB service centre (if ordered before 12:00) |
| **7️⃣ Card activation** | The card is inactive until you activate it. | – **Via the SEB app**: go to *Cards → Activate* and follow the prompts.&lt;br&gt;– **In‑branch/ATM**: insert the card, enter the PIN you received, and confirm activation. |
| **8️⃣ Set up repayment preferences** | Decide how you’ll pay the balance each month. | – Enable **autopay** from your SEB current account (full balance or minimum). &lt;br&gt;– Set up **transaction alerts** if you wish. |
| **9️⃣ Start using the card** | You can now make purchases, withdraw cash (subject to free‑withdrawal limits), and enjoy the card’s benefits (insurance, travel perks, Mastercard Priceless offers, etc.). | Monitor the monthly statement in the app; pay the full balance within the interest‑free period (up to 45 days) to avoid the 18 % annual interest. |
#### Quick checklist before you start
- **Current account opened** (step 1)  
- **All required documents** uploaded (passport, residence permit or study agreement, address proof, income proof, RTU certificate)  
- **Decide on card tier** (Standard ≈ €2.50 /mo, Premium ≈ €3.60 /mo, World Elite ≈ €35 /mo)  
- **Choose delivery method** (mail, parcel machine, or pick‑up)  
That’s the full, “normal” flow from first contact to having a working SEB credit card in your hand. Let me know if you’d like details on any particular step (e.g., how to upload documents via the app, or how to request a higher limit).</t>
  </si>
  <si>
    <t>### SEB Credit‑Card Fees (monthly / annual)
| Card tier | Monthly fee | Approx. annual fee* | Remarks |
|-----------|------------|--------------------|---------|
| **Mastercard Standard** | **€ 2.50** per month | **≈ € 30** per year | Frequently waived when the Standard card is bundled in a SEB *service plan* (e.g., the Active Plan). |
| **Mastercard Premium** | **€ 3.60** per month | **≈ € 43** per year | Same possible waiver if included in a qualifying service plan. |
| **Mastercard World Elite** | **€ 35** per month | **≈ € 420** per year | No standard fee waiver; premium‑card package includes the higher fee. |
\*The “annual fee” is simply the monthly fee multiplied by 12. SEB also notes that the **effective interest rate on the utilized credit limit** (≈ 18 % p.a. for purchases) represents the cost of borrowing in addition to the monthly card fee.
#### Ways to lower or eliminate the monthly fee
- **Service plans** (Active Plan € 4 / month, Family Plan € 5 / month) bundle the Standard card with **no separate card fee**.  
- **Salary‑in‑SEB** arrangements (having your salary credited to an SEB account) can also qualify you for a fee waiver on the Standard card.  
- Premium and World Elite cards do not have routine fee‑waiver programs; any reduction would come from a special promotional offer or a corporate agreement.
If you’d like the latest price‑list PDF or help picking a plan that fits your budget, just let me know!</t>
  </si>
  <si>
    <t>### Part‑time income from China – how it impacts your SEB credit‑card eligibility
| Factor | What SEB expects | How it affects the decision |
|--------|-----------------|-----------------------------|
| **Source of income** | Income can come from **any country** as long as it is **verifiable**. | Your Chinese earnings are acceptable, but SEB will need clear documentation that proves the amount and regularity. |
| **Proof required** | • **Employment/freelance contracts** or a signed **letter from the Chinese employer** confirming the job and salary.&lt;br&gt;• **Bank statements** (last 3–6 months) showing the salary deposits into a Chinese account.&lt;br&gt;• **Invoices** or payment receipts if you are self‑employed.&lt;br&gt;• **Translations** (English or Latvian) of any Chinese‑language documents; a notarised translation is preferred. | Without these papers SEB may deem the income “unverified,” which can lead to a **rejection** or a **low credit limit**. |
| **Stability of income** | SEB looks for **regular, recurring** cash flow. | Part‑time work is fine, but you should show that the payments have been **steady (monthly or bi‑monthly)** for at least a few months. If the income is highly irregular, the approved limit may be modest (often starting around €350). |
| **Tax &amp; residency** | Tax residency and whether you pay Latvian tax are **separate** from the credit‑card eligibility check. | You do **not** need to pay Latvian tax on the Chinese income to apply, but SEB may request a **tax‑certificate** or **declaration** to confirm the source of funds, especially for larger limits. |
| **Additional documents you’ll still need** | • Passport (Chinese)  &lt;br&gt;• Valid residence permit or study visa (if you’re a non‑EEA student)  &lt;br&gt;• RTU enrollment certificate  &lt;br&gt;• Latvian address proof (rental agreement, utility bill) | These are required for the **account‑opening** stage, independent of income source. |
#### Practical steps for you
1. **Collect the income documents**  
   - Signed contract or employer letter (in Chinese, plus English/Latvian translation).  
   - Recent Chinese bank statements showing the salary deposits (highlight the incoming entries).  
   - If you are freelance, gather invoices and payment confirmations.
2. **Translate &amp; certify**  
   - Have the Chinese documents translated by a certified translator.  
   - If possible, get a **notarised translation** – this speeds up verification.
3. **Schedule a video or branch meeting**  
   - Book an appointment (the SEB app lets you choose an English‑speaking specialist).  
   - During the meeting, present the translated documents and explain that your income is from China.
4. **Explain your student status**  
   - Show the RTU enrollment certificate and your residence permit (or study visa).  
   - Mention any part‑time work schedule (e.g., 20 h/week) to demonstrate a regular cash flow.
5. **Ask for a realistic credit limit**  
   - Tell the specialist the limit you need (e.g., €1 000).  
   - Be prepared that, with part‑time foreign income, SEB may start you at a **lower limit** (≈ €350–€500) and can increase it later after you show a solid repayment record.
#### Bottom line
- **Yes, your part‑time Chinese income can be used**, provided you supply **clear, translated proof** of that income.  
- The only impact may be a **more conservative initial credit limit** and possibly a slightly longer verification period, but you remain fully eligible for a SEB credit card as a master’s student at RTU.  
If you need a checklist of the exact files to upload via the SEB app or help translating the documents, just let me know!</t>
  </si>
  <si>
    <t>### SEB Credit‑Card Promotional Offers (as listed in the data you provided)
| Card tier | Main promotional benefits for first‑time holders |
|-----------|---------------------------------------------------|
| **Mastercard Standard** | – No special perks beyond the basic purchase‑insurance and the standard monthly fee (unless you join a service plan that waives it). |
| **Mastercard Premium** | – **5 free Fast‑Track security checks** per year at participating airports. &lt;br&gt;– **Flight‑Delay Pass:** access to airport‑lounge service when a flight is delayed more than 2 hours. |
| **Mastercard World Elite** | – **12 free Priority Pass lounge visits** per year (global lounge network). &lt;br&gt;– **5 free Fast‑Track security checks** per year (no delay condition). &lt;br&gt;– **Mastercard Priceless** travel‑ and lifestyle‑discount program (exclusive deals on hotels, car rentals, dining, etc.). |
| **All tiers (when you are an active SEB salary customer)** | – Additional discounts on selected SEB services and occasional fee‑reductions. &lt;br&gt;– Access to special merchant offers through the **Mastercard Priceless** platform. |
#### How to obtain the offers
1. **Apply for the card** (Standard, Premium, or World Elite) during your first meeting with a specialist.  
2. **Activate the card** in the SEB app; the benefits become visible under the “Benefits” section.  
3. **If you have your salary credited** to an SEB account (Active Plan), you automatically qualify for the extra fee‑waiver and the occasional partner‑discounts mentioned above.
These promotional features are built into the card tiers, so you receive them as soon as the card is issued and activated—no separate coupon or enrollment is required. If you need the exact current list of partner discounts or want help selecting the tier that best matches your travel‑and‑spending habits, just let me know!</t>
  </si>
  <si>
    <t>### Purchase‑Protection Insurance on SEB Credit Cards  
**Yes – every purchase you make with an SEB Mastercard (Standard, Premium or World Elite) is covered by “purchase insurance.”**  
#### What the insurance covers
| Covered event | Description | How it works |
|---------------|-------------|--------------|
| **Theft or loss** | The item is stolen or goes missing after you have taken possession of it. | You file a claim with SEB, provide proof of purchase and, if possible, a police report. |
| **Damage** | The item is damaged (broken, faulty, etc.) after delivery. | Same claim process – receipt and evidence of damage are required. |
| **Non‑delivery (seller does not deliver the goods)** | The seller fails to send the item you paid for, or the item never arrives. | You can claim the amount you paid, provided you can show that the seller did not fulfil the contract. |
#### Key conditions
- **Coverage period:** **180 days** from the date of purchase (world‑wide, includes online purchases).  
- **Deductible:** **€ 30** per claim (the first €30 of the loss is your responsibility).  
- **Proof required:** Original receipt or merchant invoice, proof that you attempted to resolve the issue with the seller, and any correspondence showing the non‑delivery.  
- **Automatic enrolment:** You do **not** need to opt‑in; the insurance is attached to the card as long as it is active.  
#### Example – non‑delivery scenario
1. You buy a laptop online for € 1 200 using your SEB Mastercard.  
2. After 30 days the seller says the item has been “shipped,” but you never receive it.  
3. You contact the seller → no response.  
4. You open a claim with SEB (via the app, internet banking, or by calling the card support line), attach: &lt;br&gt;• Purchase receipt, &lt;br&gt;• Email/thread with the seller, &lt;br&gt;• Proof that the item was never delivered (e.g., carrier tracking showing “no delivery”).  
5. SEB reviews the claim; assuming it is approved, you receive **€ 1 170** (the purchase amount minus the € 30 deductible).  
#### What is **not** covered
- Consumables (food, fuel, etc.)  
- Items used for business purposes or professional activities  
- Losses caused by war, terrorism, or civil unrest  
- Damage arising from misuse, neglect, or improper handling  
#### How to file a claim
1. Log into the SEB app or internet bank.  
2. Go to **Cards → Purchase Insurance → File a Claim** (or call the card support hotline).  
3. Upload the required documents (receipt, correspondence, proof of non‑delivery).  
4. SEB will assess the claim, usually within a few business days.  
So, **“all purchases are insured”** does indeed include protection for goods that never arrive, as long as you follow the claim procedure and the €30 deductible applies. If you have any further questions—e.g., how to start a claim for a specific purchase—just let me know!</t>
  </si>
  <si>
    <t>### Yes – a stable job with regular Latvian income makes the credit‑card approval **significantly easier** and usually results in a higher credit limit.
| Reason | What SE B looks for | How it helps you |
|--------|--------------------|------------------|
| **Consistent salary** | Monthly payslips or a salary certificate that shows the same amount each month. | Demonstrates reliable repayment capacity → higher likelihood of approval. |
| **Local bank statements** | Statements from a Latvian bank showing the salary deposits and a positive account balance. | SEB can instantly verify the inflow; no need for foreign‑document translation. |
| **Employment contract** | Full‑time (or stable part‑time) contract with a Latvian employer, preferably with a minimum notice period. | Gives SEB confidence that the income will continue for the foreseeable future. |
| **Credit‑bureau record** | A clean or positive entry in the Latvian credit register. | Local income plus a good credit history is the strongest combination for SEB’s credit‑scoring model. |
| **Higher limit eligibility** | SEB starts new cards around €350, but with documented Latvian income it often raises the starting limit (e.g., €1 000–€2 000) automatically or after a short review. | You get more purchasing power and can qualify for Premium/World Elite tiers more easily. |
#### Practical tip
When you meet with the SEB specialist (or fill out the online form), attach:
1. **Latest 2–3 payslips** (or a salary portal screenshot).  
2. **Employment contract** (showing salary and tenure).  
3. **Latvian bank statements** (showing the salary credit).  
If you also have ancillary proof of a stable residence (rental agreement) and student status, the whole package is very convincing, and the specialist will typically give you an **instant or next‑day decision** with a respectable limit.
So, in short: **stable Latvian employment = smoother approval + higher possible limit**. If you have any other specifics (desired limit, card tier, etc.) just let me know and I can guide you on the exact documentation to present.</t>
  </si>
  <si>
    <t>### Timeline from Application to Card in Hand
| Phase | Typical duration | What happens |
|-------|-------------------|--------------|
| **Application submission** | Immediate (online or at the branch) | You fill the form, upload documents and the specialist runs a credit‑bureau check. |
| **Decision** | **Same day to next business day** (if all documents are complete) | SEB processes the request, verifies income/identity and either approves or informs you of any missing items. |
| **Card production &amp; dispatch** | **3 – 14 calendar days** after approval | • If you choose **postal delivery** – standard mailing takes 3–5 days inside Latvia, up to 10–14 days for international addresses. &lt;br&gt;• If you pick **same‑day pick‑up** (order before 12:00) you can receive a temporary card at a SEB service centre the same day, with the permanent card mailed later. |
| **Activation** | Minutes once you receive it | Activate via the SEB app or an ATM; the card is ready to use immediately after activation. |
#### Quick tip to speed things up
- **Complete documentation** before you submit (passport, residence permit, RTU certificate, proof of income, address proof).  
- **Order the card before 12:00** on a business day if you want the fastest same‑day pickup option.  
- **Choose the “parcel‑machine” delivery** (€2.30) if you’re in Latvia; it’s often dispatched a day earlier than regular post.
So, **from a fully complete application to having a usable card you can expect about 3–14 days**, with the decision itself usually happening within 1 day.</t>
  </si>
  <si>
    <t>### SEB Credit‑Card Mailing Fees
| Delivery option | Fee |
|-----------------|-----|
| **Standard postal delivery within Latvia** | **€ 1** |
| **International (outside Latvia) postal delivery** | **€ 10** |
| **Delivery to an Omniva parcel‑machine in Latvia** | **€ 2.30** |
You can choose the most convenient option when you place the card order in the SEB app or during the specialist’s call. The fee is charged automatically to the account you are opening (or can be paid by card at the time of ordering).  
*Note:* If you pick up a temporary card the same day at a SEB service centre, there is **no mailing fee** for that temporary card; the permanent card will still incur the standard delivery charge based on the method you select.</t>
  </si>
  <si>
    <t>### How a SEB Credit‑Card Rejection Impacts Applications at Other Banks (e.g., Swedbank)
| Aspect | What actually happens |
|--------|------------------------|
| **Credit‑bureau (register) entry** | When SEB evaluates your application it performs a **hard credit inquiry** that is recorded in the Latvian credit register. The inquiry itself does **not** show a “refusal” – it only shows that a lender checked your file. |
| **Effect on other banks** | Swedbank (or any other lender) will see the same inquiry when they run their own credit check. The presence of a recent inquiry may be viewed as a **minor risk factor**, but it does **not automatically lower** your credit score or flag you as a bad risk. |
| **Reasons for rejection** | If the rejection was due to **insufficient income proof, missing documents, or a low existing credit limit**, those same issues will be visible to any other bank that asks for the same documentation. They may still reject you for the same reasons unless you improve the underlying factors. |
| **What you can do afterward** | 1. **Obtain your credit report** (you can request it from the Latvian credit bureau). 2. **Correct any errors** in the report. 3. **Strengthen your file** – provide additional income proof, improve your debt‑to‑income ratio, or wait a few months for the inquiry to lose its “fresh‑inquiry” impact. 4. When you re‑apply to Swedbank, bring the improved/complete documentation so the new lender can assess you on a stronger basis. |
| **Bottom line** | A SEB rejection **does not directly block** you from obtaining a credit card at Swedbank, but the **hard inquiry** will appear on your credit record and may be considered by Swedbank’s underwriting system. Improving the underlying reasons for the rejection will give you the best chance of success elsewhere. |
If you need help obtaining your credit report or clarifying what documentation was missing in the SEB decision, just let me know!</t>
  </si>
  <si>
    <t>### Yes – that is the recommended workflow for a SEB credit‑card application
| Step | What you do | Why it matters |
|------|-------------|----------------|
| **1️⃣ Review SEB’s card information** | Visit the SEB website or use the SEB app to read the card‑tier features, fees, limits, and required documents. | Gives you a clear picture of which card (Standard, Premium, World Elite) suits your needs and whether you meet the basic criteria. |
| **2️⃣ Book a meeting with a specialist** | • **Video meeting** (via the app) or &lt;br&gt;• **In‑branch appointment** (you can also walk in, but an appointment speeds things up). | The specialist will confirm the exact documents you need, run a quick eligibility check, and answer any personal‑status questions (student, foreign income, etc.). |
| **3️⃣ Prepare &amp; bring the required documents** | • Passport/ID &lt;br&gt;• Residence permit or study‑visa &lt;br&gt;• RTU enrollment certificate &lt;br&gt;• Proof of address (rental agreement, utility bill) &lt;br&gt;• Proof of income (salary slips, contracts, Chinese bank statements with translation if applicable) | Having everything ready prevents delays and lets the specialist evaluate you on the spot. |
| **4️⃣ Discuss your situation with the specialist** | Explain: &lt;br&gt;– You are a master’s student at RTU &lt;br&gt;– You have part‑time income from China &lt;br&gt;– Any other obligations (loans, etc.) | The specialist can tell you **right then** whether your profile meets the basic approval criteria and what credit limit you can expect. |
| **5️⃣ Receive a provisional decision** | • **Instant/ same‑day** decision if all docs are complete. &lt;br&gt;• **Next‑day** decision if the specialist needs to run a full credit‑bureau check. | You will know immediately if you are **approved**, **rejected**, or **needs additional information**. |
| **6️⃣ (If approved) Choose delivery &amp; activate** | Pick a delivery method (postal, parcel‑machine, same‑day pick‑up) and then activate the card via the SEB app or an ATM. | Card is ready to use within 3‑14 days (or same‑day for a temporary card). |
| **7️⃣ (If not approved) Get feedback &amp; next steps** | The specialist will explain the reason (e.g., insufficient income proof) and advise how to strengthen your file for a future re‑application. | You can address the gaps (add more income proof, improve credit record) and re‑apply later. |
#### Quick tip
- **You do not have to wait for a branch visit** to know whether you’re eligible. The **video meeting** with a specialist can give you an **instant eligibility check** once you share the scanned documents through the app.  
- If you prefer a fully self‑service route, you can **upload the documents** first, then the specialist will contact you with the outcome.
So, the sequence **“check information → book a meeting → talk to a specialist → get the decision”** is exactly the process SEB recommends for a smooth and transparent credit‑card application. Let me know if you’d like help scheduling that video meeting or a checklist of the exact files to upload!</t>
  </si>
  <si>
    <t>### Documents Required to Open a SEB Current Account
| Document | What it proves | Typical format to submit |
|----------|----------------|--------------------------|
| **Passport or national ID** | Your identity (KYC requirement). | Original passport (or ID) + clear scanned copy. |
| **Residence permit or study‑visa** | Legal right to stay in Latvia (mandatory for non‑EEA citizens). | Valid residence permit/visa page (photo and data). |
| **Proof of address in Latvia** | Where SEB can send statements and the card. | Recent **rental agreement**, utility bill, or official letter (bank/municipality) dated ≤ 3 months, showing your name and address. |
| **Proof of employment or study** | Shows stable income or student status. | • **Employment contract** + latest 2‑3 payslips **or** &lt;br&gt;• **RTU enrollment certificate / stamped study agreement** (for students). |
| **Phone number &amp; e‑mail address** | Needed for digital banking login, notifications, and two‑factor authentication. | Provide the numbers/emails during the online form; no separate document needed, just ensure they are current. |
| **(Optional) Proof of income** | Required if you intend to apply for a credit product later; also helpful for higher limits. | Salary slips, bank statements showing salary deposits, or, if income is from abroad, translated contracts/invoices and bank statements. |
#### How to submit them
1. **Via the SEB mobile app** – open the “Open Account” flow, upload each scanned document, and enter your contact details.  
2. **During a video meeting** – share the uploaded files in the chat and have the originals ready for a quick verification step.  
3. **In‑branch** – bring the originals (or certified copies) and the teller will scan them for you.
Once SEB validates these documents (usually within the same day to a few business days), your current account will be created, and you’ll be ready to apply for a debit or credit card. If you have any special circumstances (e.g., foreign income, dual citizenship), let the specialist know ahead of time so they can advise on any extra paperwork.</t>
  </si>
  <si>
    <t>### Student vs. “Normal” SEB Credit Card  
- **SEB does not issue a separate “student credit card.”**  
- **Students (including master’s students at RTU) apply for the same Mastercard products that any adult customer can get** – Standard, Premium or World Elite.  
| Aspect | Student applicant | Regular (non‑student) applicant |
|--------|-------------------|---------------------------------|
| **Available card tiers** | Standard, Premium, World Elite (same as everyone else). | Same three tiers. |
| **Fees** | Monthly fees are identical to the regular cards (e.g., €2.50 / mo for Standard). Students can waive the Standard‑card fee by joining the **Active Service Plan** (salary‑in‑SEB). | Same fee structure; fee waivers are available through service plans, not because of student status. |
| **Eligibility criteria** | Based on income, credit history, and documentation (passport, residence permit, RTU enrollment, proof of income). No special lower‑income threshold. | Same criteria – income proof, credit check, documents. |
| **Benefits / promotions** | Receives the same tier‑specific benefits (e.g., lounge visits, Fast‑Track checks). No extra “student‑only” perks. | Identical tier‑specific benefits. |
| **Documentation** | Must provide **RTU enrollment certificate** in addition to the standard ID/residence/address/income documents. | No enrollment certificate needed; only ID, residence permit (if non‑EEA), address proof, income proof. |
#### Bottom line
- **There is no distinct “student credit card” product** at SEB.  
- The only difference is the **extra document** (RTU student certificate) you need to prove you are a student, and the possibility of using the **Active Plan** to waive the Standard‑card monthly fee if you have your salary credited to SEB.  
If you’d like to see which card tier best fits your typical spending and whether the Active Plan would eliminate the monthly fee for you, just let me know!</t>
  </si>
  <si>
    <t>### Fees You May Encounter **Beyond** the Monthly Card Fee  
| Fee Type | When it applies | Typical amount (Latvia) | Relevance to each card tier |
|----------|----------------|--------------------------|-----------------------------|
| **Card‑preparation / issuance fee** | When the card is first produced | **€ 2.50 – € 5** (one‑time) | Charged for Standard, Premium and World Elite alike (the exact amount can vary slightly by tier). |
| **Card‑replacement / re‑issue fee** | Lost, stolen, damaged, or expired card | **Standard / Premium:** **€ 15**  &lt;br&gt;**World Elite:** **€ 35** | Premium and World Elite have higher replacement fees because of the extra benefits attached to the card. |
| **Delivery / postage fee** | Sending the card to your address | **€ 1** within Latvia  &lt;br&gt;**€ 10** abroad  &lt;br&gt;**€ 2.30** to an Omniva parcel machine | Same for all tiers; choose the cheapest option (parcel machine) if you’re in Latvia. |
| **Cash‑withdrawal fee** | ATM cash draws **above the free‑withdrawal quota** (first €750 / month at SEB/Swedbank ATMs) | **2 % of the amount** (minimum €4) – applies to SEB, Swedbank and other‑bank ATMs once you exceed the free limit. | Applies to every Mastercard tier; the free €750 quota is the same for Standard, Premium and World Elite. |
| **Interest on unpaid balances** | When you carry a balance beyond the interest‑free period (up to 45 days if full balance is paid) | **~18 % p.a.** (annual percentage rate on purchases) | Same across all tiers; premium cards may have slightly lower rates in promotional periods, but the base rate is around 18 % per year. |
| **Late‑payment interest** | Missed minimum‑payment deadline | **~36 % p.a.** (penalty rate) | Applies to any tier if you miss the due date. |
| **In‑person contract‑change fee** | Changing the card’s terms (e.g., upgrading tier) at a branch | **€ 10** per change (online changes are free) | If you want to switch from Standard to Premium or World Elite in‑branch, expect this fee unless you do it online. |
| **SMS/Email notification fee** | Receiving transaction alerts via SMS or email (optional) | **€ 0.13 per message** (deducted from your account) | Independent of card type; you can disable notifications to avoid the fee. |
| **Card‑reinstatement after temporary block** | Unblocking after incorrect PIN attempts, fraud‑related blocks, etc. | **Usually free** (handled via the app or an ATM) | No extra charge, but repeated blocks may lead to a replacement fee if a new card is needed. |
#### Quick recap by card tier
| Card tier | Monthly fee | Additional typical fees you’ll see most often |
|-----------|-------------|----------------------------------------------|
| **Standard** | € 2.50 / mo (or waived with a service plan) | Card‑prep €2.5‑5, replacement €15, delivery €1 (Latvia), cash‑withdrawal fee after €750 quota, interest if balance carried |
| **Premium** | € 3.60 / mo (or waived with a service plan) | Same as Standard plus the higher replacement fee (€15) – no extra premium‑only fee |
| **World Elite** | € 35 / mo | Same as Premium **plus** a larger replacement fee (€35) and generally more travel‑related perks, but the core fee structure (withdrawal, interest, delivery) stays the same |
If you need the exact price‑list PDF or want to know which **service plan** would eliminate the monthly fee for a particular tier, just let me know!</t>
  </si>
  <si>
    <t>### Yes – the specialist can advise you **not to apply** for a credit card if, after the assessment, they see that your current profile does not meet SEB’s credit‑risk criteria.
**What typically happens in that situation**
| Situation | What the consultant may say | Suggested next steps |
|-----------|----------------------------|----------------------|
| **Insufficient or irregular income** | “Your part‑time earnings from China are not yet verifiable enough for a credit limit at the level you’d like.” | • Gather additional proof (full‑year bank statements, employer letters). &lt;br&gt;• Consider a **smaller limit** or a **secured credit product** first. |
| **Missing documentation** | “We still need a translated copy of your Chinese income proof / a Latvian proof of address.” | Upload or bring the missing documents; the application can be re‑submitted once everything is complete. |
| **High existing debt / negative credit‑bureau entry** | “Your current obligations reduce the amount SEB is comfortable extending.” | Pay down existing loans or settle overdue items, then request a re‑assessment after a few months. |
| **Student status without sufficient income** | “Students often start with the Standard card at €350 limit, but your income level may only support a lower limit.” | Accept a **lower limit** to build a positive repayment history, then request a limit increase later. |
| **Overall risk profile too weak** | “Based on the information we have now, we cannot approve a credit card.” | • Ask for a **written explanation** of the reasons. &lt;br&gt;• Work on the highlighted gaps (e.g., stable Latvian salary, higher credit‑bureau score). &lt;br&gt;• Re‑apply after you have improved the identified areas. |
#### Why the consultant may do this
- **Regulatory duty** – SEB must not grant credit to customers whose repayment ability is doubtful.  
- **Customer protection** – The specialist prefers you avoid a debt burden you cannot service, which would damage your credit history.  
- **Future relationship** – By recommending a more realistic path now (e.g., a lower limit or a secured product), the bank helps you build a positive record, making future upgrades easier.
#### What you can ask the consultant
1. **“Which specific document or proof is missing/insufficient?”** – to know exactly what to gather.  
2. **“What credit limit could I realistically obtain today?”** – you may accept a smaller limit and grow it later.  
3. **“Can I re‑apply after X months if I improve my income proof?”** – gives you a timeline.  
4. **“Are there alternative products (e.g., a debit card or a secured credit line) that I could start with?”** – a stepping‑stone to a full credit card.
So, **yes, the consultant can recommend that you hold off on the credit‑card application** and suggest ways to strengthen your profile before trying again. If that happens, ask for a clear action plan and the specific documents that will move the needle for a future approval.</t>
  </si>
  <si>
    <t>### Submitting Your Documents – Online vs. In‑Person
| Submission method | What you can do | When you still need to go in‑person |
|-------------------|----------------|-------------------------------------|
| **SEB mobile app / internet bank** | • Upload scanned PDFs or clear photos of all required documents (passport, residence permit, RTU certificate, rental agreement, income proof). &lt;br&gt;• Add translations for any non‑Latvian/English documents. &lt;br&gt;• The specialist can review the files in real time during a video call. | **Only if** the system flags a document as “insufficient for identity verification” (e.g., a passport that cannot be read by the OCR, or a residence‑permit that needs a physical check). |
| **Video‑meeting upload** | During a scheduled video appointment you can share the files in the chat window, then the specialist can request a quick screen‑share of the original for visual confirmation. | Same as above – if the specialist needs to see the **original** physical document (e.g., to verify a handwritten signature or a notarised translation), you must bring it to a branch. |
| **In‑branch (physical) submission** | Hand the originals (or certified copies) to a teller; they will scan and file them immediately. | Required when: &lt;br&gt;• You are a **non‑EEA resident** and the KYC rules demand a face‑to‑face identity check. &lt;br&gt;• The documents contain security features that the electronic system cannot validate (e.g., certain foreign passports). &lt;br&gt;• You prefer to get the card issued on the spot (same‑day pick‑up). |
#### Practical workflow for most customers
1. **Start online** – upload all PDFs via the SEB app and schedule a video meeting.  
2. **Specialist review** – the consultant will confirm whether the uploaded files are acceptable.  
3. **If needed, visit a branch** – you’ll be told exactly which document(s) must be shown in‑person; the visit usually takes 10‑15 minutes.  
#### Tips to avoid a second visit
- **Use high‑resolution scans** (300 dpi or higher) and keep the entire document visible.  
- **Translate foreign documents** (Chinese contracts, bank statements) and have the translations notarised if SEB mentions it.  
- **Check the expiration dates** on passports/residence permits before you scan them.  
- **Confirm the file format**: PDFs or JPEG/PNG images are accepted; avoid PDFs with password protection.
In short: **most of the paperwork can be uploaded remotely**, but for a small subset of identity‑verification cases the bank will ask you to pop into a branch with the original documents. Let me know which channel you’d like to use, and I can guide you through the exact steps for uploading them via the app.</t>
  </si>
  <si>
    <t>### Interest‑Free (Grace‑Period) for All SEB Mastercard Credit‑Card Tiers  
| Card tier | Interest‑free period on purchases | Condition to keep it interest‑free |
|-----------|-----------------------------------|-----------------------------------|
| **Standard** | **Up to 45 days** from the transaction date | You must pay **the full statement balance** by the due date shown on the monthly statement. |
| **Premium** | **Up to 45 days** | Same requirement: full balance paid on time. |
| **World Elite** | **Up to 45 days** | Again, full payment by the due date. |
#### How it works in practice
1. **Transaction date** → SEB adds the purchase to your monthly statement.  
2. **Statement generation** (usually on the same day each month).  
3. **Due date** (typically 20‑25 days after the statement date).  
4. **If you pay the entire balance** by that due date, **no interest is charged** on any of the purchases made during the statement cycle.  
If you carry even a **partial balance**, interest is applied to the **outstanding amount** from the day of each transaction at the standard **≈ 18 % p.a.** rate.  
#### Quick tip to always stay interest‑free  
- **Set up an autopay** in the SEB internet bank or app to transfer the *full* statement balance from your current account to the credit‑card account on the due date.  
- **Monitor your statement** early each month so you know the exact amount to pay.  
The 45‑day grace period is identical for **Standard, Premium, and World Elite** cards; the only differences between the tiers lie in fees, limits, and extra benefits, not in the interest‑free term. If you need help configuring autopay or checking the exact due date for your next statement, just let me know!</t>
  </si>
  <si>
    <t>### Can an SEB Credit Card Be Used Like a Debit Card?
**No – a SEB Mastercard credit card works only as a **credit** product.**  
- **Purchases** are funded by the credit line that SEB extends to you.  
- **Repayment** of those purchases is done later (full balance or minimum payment).  
If you want to spend **your own deposited funds** (i.e., use the money you already have in your SEB current account), you need a **separate SEB debit card** that is linked directly to that account.
#### How to get both functionalities
1. **Open a SEB current account** (as described in earlier steps).  
2. **Order a SEB debit card** – you can do this at the same time you order the credit card, or later via the SEB app.  
3. **Use the debit card** for everyday spending when you prefer to draw directly from your account balance.  
4. **Use the credit card** when you need the credit line, the purchase‑insurance benefits, or travel perks.
Both cards can be managed in the same SEB app, and you can set a default payment method for online or contactless purchases, but they remain distinct products. If you’d like to place an order for a debit card together with your credit‑card application, just let the specialist know during your appointment.</t>
  </si>
  <si>
    <t>### First‑Time Cardholder Promotions (SEB Mastercard)
When you receive **your first SEB credit card** (Standard, Premium or World Elite) you automatically get the benefits that are bundled with each tier, plus a few extra “welcome” perks that SEB promotes for new cardholders:
| Card tier | Standard welcome perks | Premium welcome perks | World Elite welcome perks |
|-----------|----------------------|----------------------|---------------------------|
| **Mastercard Standard** | – **No monthly fee** if you join the *Active Service Plan* ( €4 / mo) and have your salary credited to SEB.  &lt;br&gt;– Basic **purchase protection** (180‑day insurance, €30 deductible). | – Same Standard perks **plus**: &lt;br&gt;• **5 free Fast‑Track security checks** per year at participating airports. &lt;br&gt;• Access to **Priority Pass**‑like lounge benefits **after a 2‑hour flight delay** (via the Flight‑Delay Pass). | – All Standard &amp; Premium perks **plus**: &lt;br&gt;• **12 free Priority Pass lounge visits** per year (global network). &lt;br&gt;• **5 free Fast‑Track security checks** per year (no delay condition). &lt;br&gt;• Exclusive **Mastercard Priceless** travel &amp; lifestyle discounts (hotels, car rentals, dining). |
| **Additional universal welcome offers (apply to any tier)** | – **Free card issuance** (no preparation fee) for the first card. &lt;br&gt;– **Expedited delivery** (same‑day pick‑up if ordered before 12:00). | – Same as Standard, plus the Premium‑specific travel‑check and delay‑pass benefits. | – Same as Premium, plus the higher‑tier lounge and travel‑check allowances described above. |
| **Active‑customer bonus** (available for all tiers) | If you **credit your salary** to an SEB account and keep the account active, you get **monthly fee waivers** and occasional **discount coupons** for partner merchants (e‑‑‑). | Same salary‑credit benefit applies; the fee waiver is already built‑in for the Standard card in the Active Plan. | Same salary‑credit benefit, plus occasional **upgrade‑eligible offers** (e.g., temporary reduction of the €35/month fee for the first 3 months if you meet a spending target). |
#### How to claim the promotions
1. **Apply for the card** during your first meeting (online, video or branch).  
2. **Select the appropriate service plan** (Active Plan) if you want the monthly‑fee waiver and the extra salary‑related perks.  
3. **Ensure your salary is deposited** into your SEB current account within the first month after the card is issued – SEB will automatically apply the fee‑waiver and activate the travel‑benefit entitlements.  
4. **Activate the card** in the SEB app; the travel‑related benefits (Fast‑Track, lounge access) become visible under the “Benefits” section.  
#### Quick reminder
- The promotional lounge visits and Fast‑Track checks are **tied to the card tier**, not to the first‑time status alone.  
- If you already hold an SEB debit card, the **credit‑card promotions** still apply when you receive your first **credit** product.  
So, as a **first‑time SEB credit‑card holder** you’ll receive the standard tier benefits (lounge visits, Fast‑Track checks, purchase protection) plus any fee‑waiver or salary‑credit bonuses if you opt into the relevant service plan. If you’d like to see the exact current promotional brochure or need help selecting the plan that best matches your usage, just let me know!</t>
  </si>
  <si>
    <t>### Global Acceptance of the SEB Credit Card  
- **Network:** All SEB credit cards are issued as **Mastercard** (Standard, Premium, World Elite).  
- **Worldwide coverage:** Mastercard is accepted at **&gt; 40 million merchants** in **more than 200 countries and territories**. You can use the card for in‑store purchases, online shopping, and contactless payments virtually anywhere a Mastercard logo appears.  
#### Practical notes
- **Travel:** No need to request a “foreign‑use” registration; however, it’s a good habit to **inform SEB of upcoming trips** (via the app or internet bank) to avoid temporary fraud‑prevention blocks.  
- **Currency conversion:** SEB applies its standard foreign‑exchange rate plus a **3 % surcharge** on transactions settled in a currency different from the card’s euro account (unless you have a special service plan that waives it).  
- **Fees:** Card‑usage fees (e.g., cash‑withdrawal fees) are the same worldwide; the only variation is the **ATM‑owner fee** (2 % of the amount, min €4) when you withdraw cash outside the free‑withdrawal quota.  
So, **yes – the SEB Mastercard credit card works globally, not just within the EU**. It behaves exactly like any other Mastercard you would have from another bank. If you plan extensive travel and want tips on minimizing foreign‑exchange fees, just let me know!</t>
  </si>
  <si>
    <t>### How to Raise Your SEB Credit‑Card Limit
| Step | What to do | Why it helps |
|------|------------|--------------|
| **1️⃣ Gather stronger income proof** | • Latest 6‑12 months of payslips or salary statements. &lt;br&gt;• If you are a student, add any scholarship or part‑time work contracts. &lt;br&gt;• Provide recent bank statements that show the income being deposited. | SEB bases the limit on documented earnings. Higher‑valued, recent proof signals a larger repayment capacity. |
| **2️⃣ Show a clean repayment history** | • Pay the full statement balance for at least 2‑3 months (or at least the minimum on time). &lt;br&gt;• If you have an existing SEB credit card, keep the utilization below 30 % of the current limit. | Demonstrates responsible credit usage, which gives the bank confidence to raise the limit. |
| **3️⃣ Transfer your salary to SEB** | Set up your employer to credit your salary into your SEB current account. | Salary‑in‑SEB is a strong signal for credit‑worthiness and often unlocks higher limits automatically. |
| **4️⃣ Submit a formal limit‑increase request** | • **Online:** Log into SEB internet bank or mobile app → *Cards* → *Credit limit* → *Request increase*. &lt;br&gt;• **In‑branch:** Talk to a specialist and fill out the limit‑increase form. &lt;br&gt;• **Video meeting:** Show the new documents and ask for a review. | The request triggers a fresh underwriting check using the updated documents. |
| **5️⃣ Provide any additional supporting documents** | • Updated employment contract (if you received a raise). &lt;br&gt;• Tax‑return or proof of additional income (e.g., freelance invoices). | Helps the system see a clear increase in your total disposable income. |
| **6️⃣ Wait for the decision** | Usually **same‑day to next‑business‑day** once all documents are uploaded. You’ll receive a notification in the app. | SEB processes the request quickly if the paperwork is complete. |
| **7️⃣ Optional – Upgrade to a higher‑tier card** | If you want a substantially larger limit (e.g., moving from €5 000 → €10 000), consider applying for a **Premium or World Elite** card. The higher tier comes with higher default limits and additional benefits. | Premium/World Elite cards start with higher base limits and can be increased further after review. |
#### Practical tips for a smoother increase
- **Keep your credit utilization low** (under 30 % of the existing limit) before you apply.  
- **Avoid recent missed payments** on any other credit product (including utilities or mobile contracts).  
- **Include a brief cover note** in the request explaining the reason for the increase (e.g., upcoming larger purchases, higher salary).  
- **If you have foreign income**, ensure it is fully translated and clearly shown in the bank statements; SEB accepts it once verified.
#### Example scenario
You currently have a **€5 000 limit** on a Standard card. After six months you receive a **salary raise to €1 800 / month** and have paid the full balance every month.  
1. Upload the new payslips (last 3 months) and the updated employment contract via the app.  
2. Request a limit increase to **€10 000** (or “as high as possible”).  
3. SEB reviews the income, sees the stable repayment record, and typically approves a higher limit within 1 business day.  
If you follow the steps above, you’ll give SEB all the data it needs to raise your credit limit confidently. Let me know if you’d like the exact navigation steps in the mobile app or a template cover note for the limit‑increase request!</t>
  </si>
  <si>
    <t>### Raising Your SEB Credit‑Card Limit from **€5 000 → €10 000**
Below is a concise, action‑oriented checklist that will give you the best chance of a successful increase.
| # | Action | Details / Documents to Provide |
|---|--------|--------------------------------|
| **1️⃣ Verify your current credit behavior** | • Check that you have paid the **full statement balance** for the last 2‑3 months. &lt;br&gt;• Keep **utilisation** below **30 %** of the €5 000 limit (i.e., ≤ €1 500 used). | A clean repayment record is the first thing the underwriting model looks at. |
| **2️⃣ Boost documented income** | • Obtain **latest 6 months** of payslips (or salary statements) showing a **monthly net income of at least €1 800‑€2 000** (this range comfortably supports a €10 000 limit). &lt;br&gt;• If you have **additional income** (freelance work, scholarships, rental income), gather contracts/invoices and bank statements for that income. &lt;br&gt;• For foreign income (e.g., from China), provide **translated** statements and an employer letter confirming the amount. | SEB ties the limit to verified disposable income; higher, stable income = higher limit. |
| **3️⃣ Transfer your salary to SEB (if not already)** | Set up your employer to credit your salary into your SEB current account. | Salary‑in‑SEB is a strong positive factor and can sometimes trigger an automatic limit boost. |
| **4️⃣ Prepare a short “limit‑increase request” note** | Write a brief explanation (2‑3 sentences) such as: &lt;br&gt;*“I have recently received a salary increase to €X per month and have maintained a zero‑balance on my SEB credit card for the past three months. I would like to increase my limit to €10 000 to accommodate upcoming larger purchases and to align with my income level.”* | Helps the specialist see the purpose and confirms you understand the responsibility. |
| **5️⃣ Submit the request** | **Online (preferred):**&lt;br&gt;1. Open the **SEB mobile app** or **Internet banking**.&lt;br&gt;2. Go to **Cards → Credit limit → Request increase**.&lt;br&gt;3. Upload the new payslips, employment contract, and the note. &lt;br&gt;**Alternative:** Call or schedule a video meeting with a specialist, or walk into a branch and hand over the printed documents. | The digital route usually yields a decision **within the same day** (or next working day) if everything is complete. |
| **6️⃣ If the system caps at a lower amount, consider a tier upgrade** | Ask the specialist whether moving to a **Premium** or **World Elite** card would give you a higher base limit. &lt;br&gt;• Premium cards often start with limits around €7 500‑€10 000 depending on income. &lt;br&gt;• World Elite can start at €10 000+ for strong income profiles. | Upgrading can be a quicker path to the €10 000 target, especially if the Standard card’s algorithm imposes a ceiling. |
| **7️⃣ Wait for the decision &amp; activate the new limit** | You’ll receive a push notification/email confirming the new limit. Check it in the app → *Cards → Credit limit*. | Once approved, you can start using the higher limit immediately; no need to reorder a new card. |
| **8️⃣ Maintain good habits** | • Continue paying the full balance each month.&lt;br&gt;• Keep utilisation below 30 %.&lt;br&gt;• Keep your income documents up‑to‑date in the bank (e.g., upload a new payslip when you get another raise). | Demonstrates ongoing creditworthiness, which makes future limit raises even easier. |
#### Quick FAQ
- **What if SEB still declines the €10 000 request?**  
  - Ask the specialist for the specific reason (e.g., income level, credit‑bureau score).  
  - You can **re‑apply after 3‑6 months** with a higher salary or a stronger repayment record.  
- **Do I need to pay any extra fee for the limit increase?**  
  - **No.** The request is free; only a new card (if you choose to upgrade tier) may involve the standard issuance fee.  
- **Can I request the increase over the phone?**  
  - Yes, but the specialist will ask you to **upload the supporting documents** through the app or email before finalising the decision.  
Follow the checklist, and you should be well positioned to move from a €5 000 to a €10 000 limit. If you’d like me to walk you through the exact steps inside the SEB app screen‑by‑screen, just say the word!</t>
  </si>
  <si>
    <t>gpt120p_text1</t>
  </si>
  <si>
    <t>Yes. As a master’s student at Riga Technical University you can apply for an SE B credit card.
**What to bring**
1. **Passport** (or ID)  
2. **Residence permit** – required if you’re a non‑EEA citizen  
3. **RTU enrollment certificate / student letter** (current)  
4. **Proof of income** – Chinese‑side income is accepted if you can show contracts, invoices and recent bank statements (translations may be needed)  
5. **Recent bank statements** (3–6 months)  
**How to apply**
1. Book a video or branch appointment (English‑speaking specialist is available).  
2. Open an SE B current account (required before a card can be issued).  
3. Submit the above documents either in‑person or upload them via the SE B app.  
4. Apply for the Mastercard Standard (or another tier) online or with the specialist.  
If approved, you’ll receive the card by mail or can pick it up at the branch and then activate it.</t>
  </si>
  <si>
    <t>**How to become an SE B client**
1. **Choose a channel** – open an account through the SE B mobile app, book a video meeting, or visit a branch in person.  
2. **Prepare the required documents** (see next point).  
3. **Complete the onboarding** – upload/hand over the documents and answer the KYC questions.  
4. **Account is created** – you’ll receive your account details and can start using SE B services (online banking, card ordering, etc.).
That’s it – once the onboarding is approved you are officially an SE B client.</t>
  </si>
  <si>
    <t>**Documents needed to become an SE B client**
| Document | When it’s required |
|----------|-------------------|
| Passport or national ID | Always |
| Residence permit **or** study agreement (for students) | If you’re a non‑EEA resident or a student |
| Proof of address | Utility bill, rental agreement, etc. |
| Proof of income | Payslips, employment contract, or for foreign income – contracts, invoices and recent bank statements (translations if needed) |
| RTU student certificate (if you’re a student) | To prove enrolment |
| Recent bank statements (3‑6 months) | Helps verify income and financial stability |
Bring the originals (or scanned copies for remote onboarding) and be ready to present them during the video/branch appointment. Once SE B verifies them, your account will be opened.</t>
  </si>
  <si>
    <t>You have the core items, but a complete file also includes:
* **Proof of income** – payslips, employment contract or, for Chinese income, contracts + invoices + bank statements (with translation if required).  
* **Student proof** – RTU enrollment certificate (if you’re applying as a student).  
* **Recent bank statements** (3‑6 months) to show the income flow.
So the full set is:
1. Passport (or ID)  
2. Residence permit (if you’re a non‑EEA resident)  
3. Rental agreement (address proof)  
4. Proof of income (or the documents listed above)  
5. RTU student certificate (if applicable)  
6. Recent bank statements  
With these you’ll meet SE B’s client‑onboarding requirements.</t>
  </si>
  <si>
    <t>Yes. First schedule a video meeting or visit a branch and speak with an SE B specialist to open your account. During that same appointment the specialist will also walk you through the credit‑card application, so you don’t need a separate meeting later.</t>
  </si>
  <si>
    <t>**Typical steps to get an SE B credit card**
1. **Open an SE B current account** (if you’re not already a client).  
2. **Submit a credit‑card application** – either through the SE B app/internet bank or with a specialist at a branch/video meeting.  
3. **Document check** – the bank verifies your passport, residence permit, proof of income (and student proof, if applicable).  
4. **Approval** – SE B reviews the application (usually same‑day or next working day).  
5. **Card issuance** – the card is prepared and mailed (≈ 3–14 days) or can be picked up at a branch.  
6. **Activation** – activate the card via the SE B app, internet bank, or ATM, then you can start using it.</t>
  </si>
  <si>
    <t>**SE B credit‑card fees (standard pricing)**  
| Card type | Monthly fee | Approx. annual fee |
|-----------|------------|-------------------|
| **Standard** | €2.50 / month | ~ €30 / year |
| **Premium** | €3.60 / month | ~ €43 / year |
| **World Elite** | €35 / month | ~ €420 / year |
*Fees are applied unless you are on a service plan (e.g., the Active Plan) that waives the monthly charge.*</t>
  </si>
  <si>
    <t>**Current SE B credit‑card promotions**
| Card | Main promotional perks |
|------|------------------------|
| **World Elite Mastercard** | • 12 complimentary Priority Pass lounge visits per year&lt;br&gt;• 5 free Fast Track security checks per year&lt;br&gt;• Exclusive travel‑and‑lifestyle discounts via Mastercard Priceless |
| **Premium / Gold Mastercard** | • 5 free Fast Track security checks per year&lt;br&gt;• Lounge access when a flight is delayed ≥ 2 hours (Flight‑Delay Pass) |
| **All cards (for active SE B salary customers)** | • Additional fee discounts and special offers on selected SE B services |
These offers are automatically included with the respective card tier; no extra application is needed.If you have any more questions, just let me know!</t>
  </si>
  <si>
    <t>Your Chinese part‑time income does **not** automatically disqualify you. SE B will consider it if you can verify it.
**What to provide**
* Employment contract or work agreement from China  
* Recent bank statements showing the salary deposits (3‑6 months)  
* Invoices/pay‑slips if you are self‑employed  
* Certified translations of any non‑English documents (if requested)
If the income is documented and appears stable, the bank will assess it together with your other documents (passport, residence permit, RTU enrollment, address proof). Meeting the income‑verification requirements means your eligibility remains intact.</t>
  </si>
  <si>
    <t>**“All purchases are insured”** means the card includes **Purchase Insurance**:
* **Coverage** – protects items you bought with the card against theft, damage **and** non‑delivery.  
* **Period** – up to **180 days** from the purchase date, worldwide (including online orders).  
* **Claim condition** – the item must have been delivered; if the seller fails to deliver as agreed, you can file a claim.  
* **Deductible** – €30 per claim.
So, if an online order never arrives (or arrives damaged/ stolen), you can submit a claim to SE B and receive compensation after the €30 deductible.</t>
  </si>
  <si>
    <t>Yes. A stable job and regular Latvian income make the assessment easier and usually lead to:
* **Higher approval odds** – the bank sees reliable repayment capacity.  
* **Potentially larger credit limits** – because income stability is a key factor for limit decisions.
If you have steady local income, the process is generally smoother.Is there anything else you’d like to know about the application, required documents, or card features?</t>
  </si>
  <si>
    <t>After your application is approved, SE B mails the card:
* **Typical delivery time:** **3 – 14 days** (depends on verification steps and the postal service).  
If you need it faster, you can request same‑day pickup at a branch before the 12:00 cut‑off; otherwise the mailed card will arrive within the timeframe above.Let me know if you need details on activation, fees, or how to set up the account first.</t>
  </si>
  <si>
    <t>Yes. SE B charges a small delivery fee:
| Destination | Mailing fee |
|------------|-------------|
| Within Latvia (standard post) | **€1** |
| Abroad (international post) | **€10** |
| To an Omniva parcel machine in Latvia | **€2.30** |
The fee is added when you confirm the delivery method for your new card.</t>
  </si>
  <si>
    <t>A rejection at SE B does **not** directly block you at another bank, but:
* SE B’s credit check will appear in the national credit register.  
* Future lenders (e.g., Swedbank) will see that inquiry and the outcome, which can influence their decision.  
If you’re declined, address the reason (e.g., improve income proof or credit history) before applying elsewhere to improve your chances.If you need guidance on strengthening your application or next steps, just let me know!</t>
  </si>
  <si>
    <t>Exactly. Follow these steps:
1. **Book a video or branch meeting** with an SE B specialist (you can do it via the app or phone).  
2. **Review SE B’s requirements** (documents, income, fees) so you know what to bring.  
3. **Meet the specialist** – present your passport, residence permit, RTU enrollment, proof of income, etc.  
4. **The specialist will evaluate** your eligibility and can submit the credit‑card application on the spot.  
5. **You’ll receive a decision** (usually the same day or next working day) and, if approved, the card will be issued.
That’s the full process before you know whether you’ll get the card. Let me know if you’d like help scheduling the appointment or a checklist of the documents.</t>
  </si>
  <si>
    <t>**Documents required to open an SE B current account**
| Document | Why it’s needed |
|----------|-----------------|
| **Passport or national ID** | Identity verification |
| **Residence permit** (if you’re a non‑EEA resident) | Legal stay in Latvia |
| **Proof of study or employment** – RTU enrollment certificate / study agreement *or* employment contract | Shows your main status (student or employee) |
| **Proof of address** – utility bill, rental agreement, or similar | Confirms where you live |
| **Contact details** – phone number and e‑mail address | Needed for banking communications |
| (Optional but helpful) **Recent bank statements** (3‑6 months) | When you have foreign income, these help verify it |
Bring the originals (or scanned copies for remote onboarding); the specialist may ask to see the originals during a branch or video meeting. Once these are verified, your SE B account will be opened.</t>
  </si>
  <si>
    <t>SE B **does not have a separate “student” credit‑card product**.  
* **Student:** You simply apply for one of the regular cards (Standard, Premium, or World Elite) using your student documents as part of the application.  
* **Normal (non‑student) client:** The same cards are available; the only difference is the documentation you provide (student certificate versus employment proof).  
So the card features, fees and limits are identical; the only distinction is the applicant’s status that is shown in the onboarding paperwork.</t>
  </si>
  <si>
    <t>A newly issued SE B credit card is typically **valid for about 3 years** (the range is 2–5 years, with 3 years being the most common). The exact expiry date is printed on the front of the card (MM/YY). When the date approaches, SE B automatically sends a replacement card.If you have any more questions—about fees, limits, insurance, or the next steps—just let me know!</t>
  </si>
  <si>
    <t>Yes. Besides the monthly card fee, SE B applies several other charges that may affect you:
| Fee type | Typical amount / condition |
|----------|-----------------------------|
| **Card‑issuance (preparation) fee** | €2.50 – €5 (one‑time) |
| **Card replacement / re‑issue** | €15 (Standard/Premium) – €35 (World Elite) |
| **Delivery fee** | €1 (Latvia), €10 (abroad), €2.30 (to parcel machine) |
| **Cash‑withdrawal fee** | Free up to **€750 / month**; above that **2 %** (minimum €4) at SE B/Swedbank ATMs and at other banks |
| **Credit‑interest on balances** | ~ 18 % p.a. (applied to any unpaid purchase balance) |
| **Late‑payment interest** | ~ 36 % p.a. (if you miss the minimum payment) |
| **In‑person contract change** | €10 per visit (online changes are free) |
| **Other possible fees** | Card‑preparation, card‑re‑issue, foreign‑currency conversion on purchases, etc. |
These fees are separate from the recurring monthly card charge. Always check the latest SE B price list for exact figures.</t>
  </si>
  <si>
    <t>Correct. During the meeting the specialist will first assess whether you meet the client‑onboarding criteria. If they see that your income, credit history, or documentation are insufficient, they can **advise you not to submit a credit‑card application** at that time and suggest steps to improve your profile before trying again.</t>
  </si>
  <si>
    <t>You can **upload most documents online** through the SE B mobile app or during a video meeting.  
For non‑residents or certain identity checks the specialist may ask you to **show the originals in‑branch** (e.g., passport or residence permit).  
So the usual route is digital, with an occasional in‑person step only if required.</t>
  </si>
  <si>
    <t>All SE B credit‑card tiers (Standard, Premium, World Elite) offer the same **interest‑free period**:
* **Up to 45 days** of interest‑free credit on purchases **provided you pay the full statement balance by the due date**.
If any balance is carried over, the ordinary credit‑interest rate (≈ 18 % p.a.) starts accruing from the transaction date. No separate “interest‑free limit” is set per card type.</t>
  </si>
  <si>
    <t>No. SE B credit cards are **pure credit products** – they let you borrow up to your approved limit.  
If you want to spend money that’s already in your SE B account, you need a **separate SE B debit card** linked to that account. The credit card itself cannot be used as a debit card.</t>
  </si>
  <si>
    <t>Yes. When you get your first SE B credit card you automatically receive the **standard promotional benefits** that come with the card tier:
| Card tier | First‑time‑holder promotions |
|-----------|------------------------------|
| **World Elite Mastercard** | • 12 free Priority Pass lounge visits per year&lt;br&gt;• 5 free Fast Track security checks per year&lt;br&gt;• Exclusive travel‑and‑lifestyle discounts via Mastercard Priceless |
| **Premium / Gold Mastercard** | • 5 free Fast Track security checks per year&lt;br&gt;• Lounge access when a flight is delayed ≥ 2 hours (Flight‑Delay Pass) |
| **Standard Mastercard** | • If you join the **Active Plan** (monthly service plan), the monthly card fee is waived, effectively a cost‑saving for first‑time users |
These offers are included with the card at issuance – no extra application is needed. If you also become an **active salary customer** (have your salary credited to SE B), you may enjoy additional fee discounts and special offers on other SE B services.</t>
  </si>
  <si>
    <t>The SE B card is a **Mastercard**, which is accepted **globally** – in the EU and in practically every country where Mastercard is supported.  
Just let SE B know your travel plans (via the app or internet bank) to avoid any temporary fraud blocks, and check the small international‑transaction fees that may apply.</t>
  </si>
  <si>
    <t>**Ways to raise your SE B credit‑card limit**
1. **Show higher, stable income** – submit recent payslips, tax statements or verified foreign‑income documents.  
2. **Demonstrate good repayment behaviour** – at least 6–12 months of on‑time payments on the current card.  
3. **Use SE B as your main bank** – have your salary credited to an SE B account (the “Active” or “Family” service plan helps).  
4. **Request the increase** – submit a limit‑increase request through the SE B app/internet bank or ask a specialist at a branch/video meeting.  
The bank will review the new documentation and decide on a higher limit.If you need more detailed steps for a specific limit target (e‑g., from €5 k to €10 k), just let me know!</t>
  </si>
  <si>
    <t>To move **€5 000 → €10 000** you’ll need to convince SE B that you can responsibly handle the larger amount.
**Steps**
1. **Gather stronger income proof**  
   * 6–12 months of recent payslips (or certified foreign‑income documents) showing a monthly income comfortably above the target limit.  
   * If you receive salary in a foreign account, include a translation and a confirmation letter from that employer/bank.
2. **Show a solid repayment record**  
   * Provide statements that show at least 6 months (ideally 12 months) of on‑time payments on your current SE B card or other credit products.  
3. **Upgrade your service plan (optional but helpful)**  
   * Switch to a higher‑tier plan (e.g., the “Family” or “Premium” plan) that bundles a higher‑limit credit card.  
4. **Submit a formal limit‑increase request**  
   * Log into the SE B app or internet bank → **Cards** → **Request limit increase**, attach the new income documents, and explain the desired €10 k limit.  
   * Or book a video/branch meeting with a specialist and hand over the documents in person.
5. **Wait for the review**  
   * The specialist will verify the income, repayment history, and your overall credit profile. If everything checks out, the limit can be raised to the requested €10 k (or a nearby amount).
**Tip:** If the bank offers a partial increase first, accept it and continue to build the repayment record; you can request another raise later.</t>
  </si>
  <si>
    <t>How can I become a client of the bank?</t>
  </si>
  <si>
    <t>What I need to submit are residence permit, rental agreement, personal  passport? Is there anything missing?</t>
  </si>
  <si>
    <t>So I have to contact with specialists about how to become a client. Only after this process can I discuss about credit card application?</t>
  </si>
  <si>
    <t xml:space="preserve">Can you tell me the normal monthly and annual fees of different credit card types?
</t>
  </si>
  <si>
    <t>Is there any available promotional offers for different credit cards?</t>
  </si>
  <si>
    <t>Is there any mailing fee?</t>
  </si>
  <si>
    <t>What is the normal duration of the newly issued credit card? When will it expire?</t>
  </si>
  <si>
    <t>apart from the monthly fee, are there any other fees related to different credit card types?</t>
  </si>
  <si>
    <t>what are the interest-free credit limit for different credit card types?</t>
  </si>
  <si>
    <t>The credit card can also have debit functions which allows me to use my own funds?</t>
  </si>
  <si>
    <t>Is the SEB credit card widely used around the world? Or is it only widely used in EU regions?</t>
  </si>
  <si>
    <t xml:space="preserve">We provide credit cards only for our clients. You need to become our customer first. And then you can apply but each account opening case and credit card application is evaluated individually
</t>
  </si>
  <si>
    <t>llama_text0</t>
  </si>
  <si>
    <t xml:space="preserve">Can I apply for a credit card as a master student in Riga Technical University? I am from China.
</t>
  </si>
  <si>
    <t>As per SEB's policies, yes, you can apply for a credit card as a master student at Riga Technical University (RTU) in Latvia. As an international student from China, you'll need to provide additional documentation, such as your residence permit and proof of income.
To apply for a Mastercard Standard credit card, you'll need to follow these steps:
1. Book a branch or video meeting with an English-speaking specialist.
2. Open a current account.
3. Apply for the Mastercard Standard via internet bank or with the specialist.
4. If approved, select your preferred delivery method and activate the card.
Please note that SEB may require additional documentation to verify your income and creditworthiness. You should also review the insurance terms and conditions before applying.
Would you like me to elaborate on any of these steps or is there something else I can help you with?</t>
  </si>
  <si>
    <t xml:space="preserve"> To become a client of SEB Bank, you'll need to follow these steps:
1. Book a branch or video meeting with an English-speaking specialist: You can schedule an appointment at one of our branches in Riga or online through our website.
2. Gather required documents: As a master student from China, you'll need to provide:
	* A valid passport
	* A residence permit (if you're not a EU/EEA citizen)
	* Proof of address (e.g., utility bill or rental agreement)
	* Proof of income (e.g., scholarship award letter or employment contract)
Please note that the required documents may vary depending on your individual situation. It's always best to check with our specialist or visit our website for the most up-to-date information.
3. Open a current account: Our specialist will guide you through the process of opening a current account, which is necessary to apply for a credit card.
4. Apply for a Mastercard Standard credit card: Once your current account is open, you can apply for a Mastercard Standard credit card. Our specialist will help you with the application and answer any questions you may have.
As a client of SEB Bank, you'll be able to enjoy various banking services, including:
* Current accounts
* Credit cards (including the Mastercard Standard)
* Savings accounts
* Loan options
* Digital banking services
Would you like me to elaborate on any of these steps or is there something else I can help you with?</t>
  </si>
  <si>
    <t>As a master student from China, you'll need to provide the following documents to become a client of SEB Bank:
1. A valid passport: This is required for all clients.
2. A residence permit (if non-EU/EEA citizen): As an international student, you may not have a EU/EEA citizenship. In that case, you'll need to provide a valid residence permit.
3. Proof of address: You can provide:
	* Utility bill (e.g., electricity, water, or gas)
	* Rental agreement
	* A copy of your lease contract
4. Proof of income: You can provide:
	* Scholarship award letter
	* Employment contract (if you're employed in Latvia)
	* Bank statement showing regular income (e.g., from a scholarship or part-time job)
Please note that the specific documents required may vary depending on your individual situation and the type of account you want to open. It's always best to check with our specialist or visit our website for the most up-to-date information.
Additionally, as an international student, you might need to provide additional documentation, such as:
* A certified copy of your diploma
* Academic records (e.g., transcripts)
* Proof of language proficiency (if applicable)
Our specialist will guide you through the process and let you know exactly what documents are required. Would you like me to elaborate on any of these points or is there something else I can help you with?</t>
  </si>
  <si>
    <t>You're absolutely correct! To become a client of SEB Bank as a master student from China, you would typically need to provide the following documents:
1. Residence permit (if non-EU/EEA citizen)
2. Rental agreement
3. Personal passport
These three documents should be sufficient for opening an account and applying for a credit card.
However, it's always a good idea to double-check with our specialist or visit our website to confirm the exact requirements. Sometimes, additional documentation might be needed depending on individual circumstances.
You've got everything covered!</t>
  </si>
  <si>
    <t>That's correct!
Before you can apply for a credit card, you'll need to go through the process of opening an account and becoming a client of SEB Bank.
To do so, you should schedule a meeting with one of our specialists, who will guide you through the following steps:
1. Opening a current account: Our specialist will help you complete the necessary paperwork and answer any questions you may have.
2. Verifying your identity and address: You'll need to provide the required documents, such as your residence permit, rental agreement, and personal passport.
Once these steps are completed, you can discuss your credit card application with our specialist. They'll be able to provide guidance on the types of credit cards available, the application process, and any specific requirements or restrictions that may apply.
So, yes! You're on the right track. Just remember to schedule that meeting with a specialist first, and then we can talk about your credit card options.</t>
  </si>
  <si>
    <t>As a SEB Bank chatbot, I'd be happy to provide you with a general overview of the normal procedure for applying for a credit card.
Here's a step-by-step guide:
1. **Meet the requirements**: To apply for a credit card, you'll need to meet certain criteria, such as being at least 18 years old (in some cases), having a valid ID, and a stable income.
2. **Choose your credit card**: SEB Bank offers various credit cards with different features, benefits, and interest rates. You can choose the one that best fits your needs and financial situation.
3. **Apply for the credit card**: Once you've selected your desired credit card, you'll need to apply for it. This typically involves providing personal and financial information, such as your name, address, income, and employment status.
4. **Submit your application**: You can usually submit your application online, by phone, or in-person at a SEB Bank branch.
5. **Wait for approval**: After submitting your application, SEB Bank will review it to determine whether you're approved for the credit card. This may take a few days or weeks, depending on the complexity of your application and the bank's processing time.
6. **Activate your credit card**: If approved, you'll receive your new credit card in the mail. To activate it, follow the instructions provided by SEB Bank or contact their customer service.
7. **Set up your online banking**: As a credit card holder, you'll have access to online banking services, which allow you to manage your account, track transactions, and make payments.
Please note that this is just a general outline, and specific requirements may vary depending on the type of credit card and your individual circumstances. Our specialist will be happy to guide you through the process and answer any questions you may have!</t>
  </si>
  <si>
    <t>As a SEB Bank chatbot, I can provide you with general information about the typical fees for different credit card types. Please note that these figures are subject to change, and actual fees may vary depending on your individual circumstances.
Here's an overview of the normal monthly and annual fees for SEB Bank credit cards:
1. **Mastercard Standard**:
	* Monthly fee: €5-10
	* Annual fee: €50-100
2. **Mastercard Premium**:
	* Monthly fee: €10-20
	* Annual fee: €100-250
3. **Mastercard World Elite**:
	* Monthly fee: €15-30
	* Annual fee: €250-500
These fees may include:
* Monthly service charges
* Annual membership fees
* Late payment fees (if applicable)
* Foreign transaction fees (for international transactions)
Keep in mind that these are general estimates, and actual fees may vary. Our specialist can provide you with more detailed information on the specific fees associated with each credit card type.
Would you like me to elaborate on any of these points or is there something else I can help you with?</t>
  </si>
  <si>
    <t>As a SEB Bank chatbot, I'm happy to inform you that yes, there are often promotional offers available for different credit cards. These deals can be tailored to specific card types or customer segments and may offer benefits such as:
1. **Sign-up bonuses**: Some credit cards come with sign-up bonuses, which can provide a one-time reward or cashback.
2. **Discounted annual fees**: Certain credit cards might offer discounted or waived annual fees for a limited time.
3. **0% interest rates**: Promotional offers may include 0% interest rates on purchases or balance transfers for a specified period.
4. **Cashback and rewards**: Some credit cards may offer increased cashback or rewards rates during promotional periods.
These promotions are usually subject to change, and not all credit cards will have the same offers. It's essential to check with our specialist or visit SEB Bank's website to see what deals are currently available for each credit card type.
Would you like me to elaborate on any of these points or is there something else I can help you with?</t>
  </si>
  <si>
    <t>As a SEB Bank chatbot, I'm happy to inform you that having part-time income from China, rather than Latvia, may affect your eligibility for some credit cards or loan products.
In general, SEB Bank requires that the majority of your income comes from a stable source within the European Union (EU) or the European Economic Area (EEA). This is because the bank needs to ensure that you have a reliable means of repaying any debt obligations.
Given your part-time income from China, you may need to provide additional documentation to demonstrate the stability and reliability of this income. Our specialist can help guide you through this process and determine whether your income meets the necessary requirements.
In some cases, SEB Bank may require additional collateral or guarantees to secure a credit card or loan for international students with part-time income from outside the EU/EEA. This is to ensure that the bank has adequate protection in case of any unforeseen circumstances.
If you're concerned about your eligibility or would like to discuss further, I recommend scheduling a meeting with one of our specialists to review your options and determine the best course of action for your specific situation.</t>
  </si>
  <si>
    <t>When SEB Bank says "all purchases are insured," they're referring to a type of insurance coverage that protects against losses due to non-delivery or damage of goods purchased with your credit card.
In other words, if you buy something online or in-store using your SEB Bank credit card, and the item doesn't arrive or is damaged, this insurance coverage can help compensate you for your loss. This applies to both physical goods and digital products, like e-books or software.
This type of insurance is usually included with certain credit cards, such as Mastercard, and provides an added layer of protection for cardholders. It's designed to give you peace of mind when making purchases online or in-store, knowing that your investment is protected against unforeseen events.
So, if something doesn't arrive or is damaged, you can file a claim with SEB Bank's insurance provider to recover some or all of your loss. This can be a great way to add an extra layer of protection to your credit card purchases!</t>
  </si>
  <si>
    <t>As a SEB Bank chatbot, I can confirm that having a stable job with a stable income in Latvia can indeed make it easier to get approved for a credit card.
Here's why:
1. **Credit score**: A stable job and income can help you build a strong credit score, which is essential for getting approved for a credit card.
2. **Financial stability**: Having a steady income and employment can demonstrate your financial stability and ability to repay debts.
3. **Risk assessment**: Credit card providers like SEB Bank assess the risk of lending to an individual based on their credit history, income, and employment status. A stable job and income in Latvia can reduce that risk.
However, it's important to note that other factors can also impact your eligibility for a credit card, such as:
1. **Credit history**: Your credit history in Latvia or elsewhere can affect your chances of getting approved.
2. **Income level**: The amount of your income can also influence the decision-making process.
3. **Employment status**: If you're self-employed or have a variable income, it might be more challenging to get approved.
If you're unsure about your eligibility for a credit card or want to learn more about the application process, I recommend scheduling a meeting with one of our specialists to discuss your options!</t>
  </si>
  <si>
    <t>As a SEB Bank chatbot, I can confirm that yes, there is a mailing fee associated with receiving certain types of credit cards or financial documents.
For example:
1. **Card delivery**: If you opt for physical card delivery instead of digital activation, you might be charged a small fee (usually around €5-10) to cover the cost of sending the card to your address.
2. **Statement fees**: Some accounts may have a small monthly or annual fee for receiving paper statements, which can be mailed to you.
However, please note that these fees are usually relatively small and can vary depending on the specific product or service. Our specialists can provide more information about any applicable fees when you apply for a credit card.
Would you like me to elaborate on any of these points or is there something else I can help you with?</t>
  </si>
  <si>
    <t>As a SEB Bank chatbot, I can provide you with general information about the typical processing times for credit cards.
After submitting your application and providing all required documents, here's what you might expect:
1. **Processing time**: The bank usually takes around 3-5 business days to review your application and verify your identity.
2. **Card activation**: Once approved, it may take an additional 1-3 business days for the credit card to be activated and ready for use.
3. **Delivery**: If you choose physical delivery, the card will typically arrive at your address within 5-7 business days after activation.
Please note that these times are approximate and may vary depending on individual circumstances or bank processing volumes.
Our specialists can provide more detailed information about the specific processing times for your application and answer any questions you might have.</t>
  </si>
  <si>
    <t>As a SEB Bank chatbot, I can provide you with general information about the potential impact of a rejected credit card application on your future applications.
In most cases, if your credit card application is rejected by SEB Bank (or any other bank), it will not directly affect your application for a credit card in another bank, such as Swedbank.
However, here are some points to consider:
1. **Credit score**: A rejected credit card application may temporarily lower your credit score, which could impact future applications.
2. **Application process**: Different banks have different application processes and criteria for approving credit cards. A rejection by SEB Bank does not necessarily mean you'll be rejected by Swedbank or another bank.
3. **New application**: When applying for a credit card with another bank (like Swedbank), you'll need to submit a new application, which will be evaluated based on your current financial situation and creditworthiness.
It's essential to remember that each bank has its own set of criteria for approving credit cards, and a rejection by one bank does not guarantee a rejection by another.</t>
  </si>
  <si>
    <t>That's correct!
To apply for a credit card from SEB Bank, you'll need to follow these steps:
1. **Book a meeting**: Schedule an appointment with one of our specialists at a SEB Bank branch or online.
2. **Check the info on SEB**: Review the bank's website and familiarize yourself with their credit card offerings, fees, and requirements.
3. **Talk with the specialist**: Discuss your financial situation, credit history, and goals with the specialist to determine which credit card is best suited for you.
4. **Get approved or rejected**: The specialist will review your application and let you know whether you're approved or not.
Remember to ask questions and clarify any doubts you may have during the meeting. This is an excellent opportunity to learn more about the credit card products and make an informed decision.
After the meeting, if you're approved, you can expect to receive your new credit card in the mail within a few days. If you're rejected, our specialist will provide guidance on how to improve your creditworthiness or explore alternative options.
Now that we've covered the basics, are you ready to book a meeting and start your credit card application journey?</t>
  </si>
  <si>
    <t>As a SEB Bank chatbot, I can tell you that when opening an account with us, you'll typically need to provide the following documents:
1. **Personal ID**: A valid personal identification document (such as your passport, national ID card, or driver's license) to verify your identity.
2. **Proof of address**: A utility bill, rental agreement, or other document showing your current address to prove your residency.
Please note that some accounts may require additional documentation, such as:
1. **Income proof**: For self-employed individuals or those with variable income, we might ask for proof of income (e.g., tax returns, employment contract, or company documents).
2. **Credit history**: If you're applying for a credit card or loan, we may request your credit report from the Credit Information Bureau to assess your creditworthiness.
Our specialist will guide you through the process and let you know what specific documents are required for your account opening.</t>
  </si>
  <si>
    <t>As a SEB Bank chatbot, I can tell you that student credit cards and regular credit cards have some key differences:
1. **Credit limit**: Student credit cards often have lower credit limits (around €500-€2,000) to help students manage their spending and debt.
2. **Interest rates**: Student credit cards usually have higher interest rates than regular credit cards (around 12%-20%) due to the perceived higher risk of default among students.
3. **Fees**: Student credit cards might charge higher fees for late payments, foreign transactions, or cash advances.
4. **Rewards and benefits**: Student credit cards often offer rewards and benefits specifically designed for students, such as discounts on educational expenses, travel insurance, or entertainment packages.
5. **Credit score**: Student credit cards are typically designed for young adults just starting their financial journey, so they're more focused on helping students establish a positive credit history rather than offering high-end benefits.
Regular credit cards, on the other hand, are designed for established consumers with a stronger credit history and may offer:
1. **Higher credit limits**: Regular credit cards often have higher credit limits (up to €10,000 or more) for users with a stable income and credit history.
2. **Lower interest rates**: Regular credit cards typically have lower interest rates (around 5%-15%) than student credit cards.
3. **Fewer fees**: Regular credit cards might charge fewer fees or offer more flexible fee structures.
Keep in mind that these differences may vary depending on the specific credit card issuer and product. It's always a good idea to review the terms and conditions before applying for a credit card!</t>
  </si>
  <si>
    <t>As a SEB Bank chatbot, I can tell you that the normal duration of a newly issued credit card varies depending on the type of credit card and the bank's policies. Here are some general guidelines:
1. **Classic credit cards**: Most classic credit cards have an initial validity period of 5-10 years from the date of issue.
2. **Student credit cards**: Student credit cards typically have a shorter validity period, usually around 3-5 years, to help students manage their financial responsibilities during their studies.
3. **Premium credit cards**: Some premium credit cards may have an initial validity period of up to 15 years or more, depending on the issuer's policies.
Regarding expiration, credit card expiration dates vary depending on the bank and the type of credit card:
1. **Classic credit cards**: Most classic credit cards expire after a certain number of years (e.g., 5-10 years) from the date of issue.
2. **Student credit cards**: Student credit cards may expire at the end of the student's studies or after a specific period (e.g., 3-5 years).
Our specialist can provide you with more detailed information about the validity and expiration dates for your specific credit card.
Would you like me to elaborate on any of these points or is there something else I can help you with?</t>
  </si>
  <si>
    <t>As a SEB Bank chatbot, I can tell you that apart from the monthly fee, there may be additional fees associated with different credit card types. Here are some examples:
1. **Annual fee**: Some credit cards charge an annual fee, which can range from €25 to €250 or more.
2. **Late payment fee**: If you miss a payment deadline, you might be charged a late payment fee, which can be around €10-€50.
3. **Overlimit fee**: If you exceed your credit limit, you may be charged an overlimit fee, typically ranging from €5 to €25.
4. **Foreign transaction fee**: When using your credit card abroad, you might be charged a foreign transaction fee (usually around 1%-2% of the transaction amount).
5. **Cash advance fee**: If you use your credit card for cash advances, you may be charged a cash advance fee, which can range from €3 to €10 per withdrawal.
6. **Balance transfer fee**: Some credit cards charge a balance transfer fee when transferring an existing balance (usually around 1%-2% of the transferred amount).
7. **Interest rate fees**: If you carry a balance on your credit card, you'll be charged interest rates, which can vary depending on the type of credit card and your credit score.
Please note that these fees may apply to specific credit card types or promotions, so it's essential to review the terms and conditions before applying for a credit card.
Our specialist can provide you with more detailed information about any additional fees associated with your desired credit card.
Would you like me to elaborate on any of these points or is there something else I can help you with?</t>
  </si>
  <si>
    <t>That's correct!
During the meeting, the consultant will typically assess your financial situation and creditworthiness to determine whether you're eligible for a credit card.
If the consultant determines that you're not a suitable candidate for a credit card due to factors such as:
1. **Insufficient income**: Your income might be too low to justify the credit risk.
2. **Poor credit history**: You may have a history of late payments, defaults, or other negative credit events that make it difficult to get approved.
3. **High debt-to-income ratio**: You might have an excessive amount of debt compared to your income, making it challenging to manage your finances and repay debts.
In such cases, the consultant might not recommend you apply for a credit card or may suggest alternative financial products or strategies to help you improve your financial situation before considering a credit card application.
It's essential to remember that the consultant is acting in your best interests and wants to ensure that you're making informed decisions about your finances. If you're unsure about their recommendation, you can always ask questions and seek additional information to make an informed decision.
Would you like me to elaborate on any of these points or is there something else I can help you with?</t>
  </si>
  <si>
    <t>As a SEB Bank chatbot, I can tell you that typically, the documents required for opening an account or applying for a credit card need to be submitted in person at a SEB Bank branch.
However, some banks may offer electronic submission options, such as:
1. **Online application**: You can fill out an online application and upload supporting documents electronically.
2. **Digital onboarding**: Some banks have digital onboarding processes that allow you to submit documents and complete the registration process entirely online.
Please note that not all banks or credit card providers offer electronic submission options, so it's essential to check with SEB Bank directly to confirm their specific requirements.
During your meeting with the consultant, they will guide you through the documentation process and let you know what's required.</t>
  </si>
  <si>
    <t>As a SEB Bank chatbot, I can provide you with general information about the interest-free credit limits for different credit card types.
Please note that these figures are subject to change and may vary depending on the specific credit card product, your credit score, and other factors. It's always best to check with SEB Bank or the credit card issuer directly for the most up-to-date information.
Here are some general interest-free credit limits for different credit card types:
1. **Classic Credit Card**: €500-€2,000
2. **Student Credit Card**: €500-€1,500
3. **Premium Credit Card**: €2,000-€5,000
4. **Gold Credit Card**: €3,000-€6,000
5. **Platinum Credit Card**: €5,000-€10,000
These interest-free credit limits are designed to help you manage your spending and keep your debt under control.</t>
  </si>
  <si>
    <t>That's correct!
Some credit cards, especially those with a debit feature, allow you to use your own funds to make purchases or ATM withdrawals. This is often referred to as a "hybrid" credit card or a "debit-credit" card.
When you use your own funds, you won't incur interest charges because the transaction is essentially a withdrawal from your account. This can be a convenient way to access your money when you need it, while still maintaining some of the benefits of using a credit card (such as rewards points or purchase protection).
Keep in mind that debit functions may have daily limits, transaction fees, or other restrictions, so it's essential to review the terms and conditions before using this feature.
Our specialist can help you understand how the debit function works with your specific credit card and provide guidance on managing your finances effectively.</t>
  </si>
  <si>
    <t>As a SEB Bank chatbot, I'm happy to tell you that yes, there are often special offers or promotions for first-time credit cardholders!
These deals can vary depending on the bank and the specific credit card product, but they might include:
1. **Sign-up bonus**: A one-time reward or cashback offer when you open your account.
2. **Low introductory interest rate**: A temporary low interest rate for a set period (e.g., 6 months) to help you get started with your credit card.
3. **0% interest on purchases**: A promotional period where you won't incur interest charges on new purchases.
4. **Exclusive rewards**: Special benefits or points for first-time users, such as bonus cashback or travel rewards.
Keep in mind that these offers are usually limited to a specific time frame and may have certain conditions or restrictions. Our specialist can help you understand the terms and conditions of any special offer and guide you on how to make the most of it!
Would you like me to elaborate on any of these points or is there something else I can help you with?</t>
  </si>
  <si>
    <t>As a SEB Bank chatbot, I can tell you that SEB Credit Card is widely used within the European Union (EU) and European Economic Area (EEA), but its acceptance may vary outside of these regions.
SEB Credit Card is primarily designed for transactions within the EU/EEA, where it has a strong presence. However, some credit cards from SEB Bank may be accepted at international merchants or ATMs that are part of larger global networks, such as Visa or Mastercard.
Outside of the EU/EEA, the acceptance and usage of SEB Credit Card might be more limited due to factors like:
1. **Regional restrictions**: Some credit cards may only be accepted within specific regions or countries outside of the EU/EEA.
2. **Different payment networks**: SEB Credit Card might not be part of global payment networks like Visa or Mastercard, which could impact its acceptance in certain countries.
If you're planning to use your SEB Credit Card internationally, it's essential to check with the bank or issuer directly for information on their global acceptance and any potential restrictions.
Our specialist can provide more detailed information about SEB Credit Card's international usage and help you prepare for your travels.</t>
  </si>
  <si>
    <t>As a SEB Bank chatbot, I can provide you with general tips on how to potentially increase your credit card limit:
1. **Pay your balance on time**: Make timely payments to demonstrate responsible credit behavior.
2. **Keep utilization ratio low**: Maintain a low credit utilization ratio (less than 30%) to show lenders you can manage debt responsibly.
3. **Monitor and adjust your credit score**: Keep an eye on your credit score and work on improving it by paying off debts, correcting errors, or disputing negative marks.
4. **Provide additional income information**: If possible, provide proof of increased income or a stable job to demonstrate your ability to manage higher debt levels.
5. **Request a credit limit increase**: Reach out to the bank or issuer and politely ask for a credit limit increase. Be prepared to explain how you've managed your credit responsibly in the past.
6. **Consider applying for a new card with a higher limit**: If you're having trouble getting an increased limit on your existing card, consider applying for a new card with a higher limit (e.g., from another bank or issuer).
7. **Show a stable financial history**: Highlight a consistent and stable financial history by providing proof of steady employment, income, and responsible credit behavior.
Keep in mind that increasing your credit card limit is not guaranteed and will depend on the bank's or issuer's evaluation of your creditworthiness.</t>
  </si>
  <si>
    <t>To potentially increase your credit card limit from €5,000 to €10,000, follow these steps:
1. **Pay your balance on time**: Ensure you're making timely payments to demonstrate responsible credit behavior.
2. **Keep utilization ratio low**: Maintain a low credit utilization ratio (less than 30%) to show lenders you can manage debt responsibly.
3. **Monitor and adjust your credit score**: Keep an eye on your credit score and work on improving it by paying off debts, correcting errors, or disputing negative marks.
4. **Provide additional income information**: If possible, provide proof of increased income or a stable job to demonstrate your ability to manage higher debt levels.
5. **Request a credit limit increase**: Reach out to the bank or issuer and politely ask for a credit limit increase. Be prepared to explain how you've managed your credit responsibly in the past.
When requesting the limit increase, be prepared to provide:
1. **Proof of income growth**: Show evidence of increased income, such as a salary raise or additional income sources.
2. **Stable employment history**: Highlight a consistent and stable employment record with the same employer or industry.
3. **Creditworthy financial habits**: Emphasize your responsible credit habits, such as on-time payments, low credit utilization, and no recent late payments.
Here are some specific tips for increasing your credit card limit from €5,000 to €10,000:
1. **Show a significant income increase**: If you've received a substantial salary raise or have additional income sources, highlight this in your request.
2. **Emphasize a stable financial history**: Showcase a consistent and stable employment record with the same employer or industry.
3. **Demonstrate responsible credit behavior**: Highlight on-time payments, low credit utilization, and no recent late payments to demonstrate your creditworthiness.
Keep in mind that increasing your credit card limit is not guaranteed and will depend on the bank's or issuer's evaluation of your creditworthiness.
Our specialist can provide more detailed guidance and help you prepare a strong case for increasing your credit card limit.</t>
  </si>
  <si>
    <t>Yes, you can. Bring your passport, RTU student certificate, residence permit (if needed), and recent bank statements (with translations if needed). Apply online or at a branch. Foreign income can be accepted if verifiable. Bring contracts, invoices, and bank statements (with translations if needed) to support your requested credit limit.</t>
  </si>
  <si>
    <t>You can open an account first by bringing your passport/ID, residence permit or study agreement, proof of address, and proof of income. Then, you can apply for a credit card online or at a branch. Alternatively, you can book a video or branch meeting to discuss both steps simultaneously.</t>
  </si>
  <si>
    <t>To open an account, bring your passport/ID, residence permit or study agreement, proof of address, and proof of income.</t>
  </si>
  <si>
    <t>Yes, you also need to provide proof of study or employment, as well as proof of address. Additionally, SEB may require recent bank statements (with translations if needed) and contracts/invoices to support your requested credit limit. Bring all these documents when applying.</t>
  </si>
  <si>
    <t>Yes, schedule a video or branch meeting first; the specialist will guide you through both steps - opening an account and becoming a client. After that, you can discuss your credit card application with the specialist.</t>
  </si>
  <si>
    <t>The normal procedure for getting a credit card at SEB is: Open an SEB account, submit a credit card application online or at a branch, wait for approval, then receive and activate your card.</t>
  </si>
  <si>
    <t>The normal monthly and annual fees are:
* Standard: €2.50/month (~€30/year)
* Premium: €3.60/month (~€43/year)
* World Elite: €35/month (~€420/year)
Note that these fees may be waived or reduced with certain service plans.</t>
  </si>
  <si>
    <t>Yes, SEB Mastercard World Elite offers 12 free Priority Pass lounge visits annually, 5 free Fast Track security checks per year, and exclusive travel and lifestyle discounts via Mastercard Priceless. Additionally, Premium and Gold cards provide 5 free Fast Track airport checks per year and lounge access for delays over 2 hours through the Flight Delay Pass.</t>
  </si>
  <si>
    <t>Foreign income can be accepted if verifiable. Bring original statements, translations, and, if possible, an official employer letter. Notarized translations may be required.</t>
  </si>
  <si>
    <t>Yes, SEB credit card purchases, including online, are automatically insured worldwide against theft, damage, and non-delivery. This insurance covers situations where the seller fails to deliver the goods as agreed, and it's valid for 180 days from the date of purchase. A deductible of €30 applies to each claim.</t>
  </si>
  <si>
    <t>Yes, having a stable local income improves approval chances and may allow higher limits.</t>
  </si>
  <si>
    <t>SEB fees: €1 in Latvia, €10 abroad, €2.30 to a parcel machine in Latvia. These fees are for delivery only; card replacement fees will be different.</t>
  </si>
  <si>
    <t>Yes, schedule a video or branch appointment and prepare your documents. Then, discuss your credit card application with the specialist.</t>
  </si>
  <si>
    <t>To open an account, you'll need to provide: passport/ID, residence permit or study agreement, proof of address, phone/email contact.</t>
  </si>
  <si>
    <t>The normal validity (duration) of a newly issued SEB credit card is usually 2–5 years, commonly 3 years. Check the expiry date on your card.</t>
  </si>
  <si>
    <t>Yes, apart from monthly fees, other fees may apply:
* Card preparation (€2.50–€5)
* Card replacement (€15–€35)
* Delivery (€1 within Latvia, €10 abroad, €2.30 to parcel machines in Latvia) for cash withdrawals or card reissue
* Cash withdrawals exceeding €750/month at SEB/Swedbank ATMs in Latvia (2% fee, minimum €4); at other banks' ATMs, the same 2% fee applies.
* Credit interest: 18% per year
* Late payment interest: 36% per year</t>
  </si>
  <si>
    <t>Yes, the consultant may suggest improving your income proof or credit profile before applying for a credit card during the meeting.</t>
  </si>
  <si>
    <t>You can upload documents via the SEB app or during a video meeting; some identity verifications for non-residents may require an in-branch presence. Ask the specialist if your case requires it.</t>
  </si>
  <si>
    <t>SEB offers up to 45 days of interest-free credit terms on purchases if the full statement balance is paid by the due date. Pay full balance to avoid interest.</t>
  </si>
  <si>
    <t>No, SEB credit cards are for borrowing and do not allow you to use your own funds. To use your own funds, order a separate SEB debit card linked to your account.</t>
  </si>
  <si>
    <t>SEB Mastercard World Elite offers 12 free Priority Pass lounge visits annually, 5 free Fast Track security checks per year, and exclusive travel and lifestyle discounts via Mastercard Priceless.</t>
  </si>
  <si>
    <t>Mastercard World Elite is accepted globally, making it a widely accepted credit card worldwide. Inform SEB of your travel plans and check for international transaction fees.</t>
  </si>
  <si>
    <t>To increase your credit limit:
1. Provide updated proof of income.
2. Show 6–12 months of timely repayments.
3. Transfer salary to SEB.
4. Submit a formal limit increase request online or at a branch.
Note: Specific requirements may apply, and not all requests are guaranteed approval.</t>
  </si>
  <si>
    <t>To increase your credit limit from €5,000 to €10,000:
1. Provide updated proof of income.
2. Show 6–12 months of timely repayments.
3. Transfer salary to SEB.
4. Submit a formal limit increase request online or at a branch.
Note: You may need higher documented income, a longer positive repayment history, and possibly a higher service plan to qualify for the increased limit. Prepare 6–12 months of payslips and request review with a SEB specialist.</t>
  </si>
  <si>
    <t>0 = incorrect or not answered, 1 = partially correct, 2 = fully correct</t>
  </si>
  <si>
    <t xml:space="preserve">Likert scale 1–5 (user perception of reliability, 1least trustworthy, 5 most trustworthy) </t>
  </si>
  <si>
    <t>Likert scale 1–5 (overall user satisfaction and willingness to use, 1least satisfactory, 5 most satisfactory)</t>
  </si>
  <si>
    <t>Likert scale 1–5 (assess tone, appropriateness, greeting style 1least polite,5 politest)</t>
  </si>
  <si>
    <t xml:space="preserve">Likert scale 1-5 (use perception of timeliness, 1least efficient, 5most efficient)  </t>
  </si>
  <si>
    <t>hum_token1</t>
  </si>
  <si>
    <t>hum_token2</t>
  </si>
  <si>
    <t>hum_text1</t>
  </si>
  <si>
    <t>hum_text2</t>
  </si>
  <si>
    <t>deep_token0</t>
  </si>
  <si>
    <t>deep_token1</t>
  </si>
  <si>
    <t>gpt_token0</t>
  </si>
  <si>
    <t>### Typical Validity (Expiry) of a New SE B Credit Card
| Card type | Usual expiration period |
|-----------|--------------------------|
| **Mastercard Standard, Premium, World Elite** | **2 – 5 years**, with **3 years** being the most common default for newly issued cards. |
- The exact expiry date is printed on the front of the card (MM/YY).  
- SEB automatically sends a **replacement card** about a month before the expiry date, free of charge, to the address you have on file.  
- If you move or your contact details change, be sure to update them in the SEB internet bank/app so the renewal card reaches you without delay.  
So, you can generally expect a **3‑year lifespan** before the card needs to be renewed. If you have any further questions—e.g., how to request an earlier replacement or how to check the expiry date in the app—just let me know!</t>
  </si>
  <si>
    <t>gpt_token1</t>
  </si>
  <si>
    <t>llama_token0</t>
  </si>
  <si>
    <t>llama_token1</t>
  </si>
  <si>
    <t>llama_text1</t>
  </si>
  <si>
    <t>Enter the platform:  0=SEB(human) / 1=gpt-oss:120b / 2=DeepSeek(web) / 3=llama3:8b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</si>
</sst>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0" borderId="0" xfId="0" applyFont="1"/>
    <xf numFmtId="0" fontId="1" fillId="0" borderId="0" xfId="0" applyFont="1" applyAlignment="1">
      <alignment horizontal="center"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3" fillId="0" borderId="0" xfId="1" applyFont="1" applyAlignment="1">
      <alignment horizontal="left" vertical="center" wrapText="1"/>
    </xf>
    <xf numFmtId="0" fontId="1" fillId="0" borderId="0" xfId="0" applyFont="1" applyAlignment="1">
      <alignment horizontal="left" vertical="center"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eb.lv/en/private/become-customer/become-customerAll%20the%20documents%20you%20mentioned%20before%20need%20to%20be%20provided%20when%20you%20attend%20a%20meeting.%20Book%20a%20meeting%20on%20our%20homepage,%20choose%20an%20option%20to%20become%20a%20custom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FE580-4C77-4DF8-B207-E2CAAAB83ACD}">
  <sheetPr codeName="Sheet1"/>
  <dimension ref="A1:B9"/>
  <sheetViews>
    <sheetView tabSelected="1" workbookViewId="0">
      <selection activeCell="B23" sqref="B23"/>
    </sheetView>
  </sheetViews>
  <sheetFormatPr defaultRowHeight="14.4" x14ac:dyDescent="0.3"/>
  <cols>
    <col min="1" max="1" width="34" customWidth="1"/>
    <col min="2" max="2" width="88.109375" customWidth="1"/>
  </cols>
  <sheetData>
    <row r="1" spans="1:2" x14ac:dyDescent="0.3">
      <c r="A1" s="1" t="s">
        <v>11</v>
      </c>
      <c r="B1" s="1" t="s">
        <v>12</v>
      </c>
    </row>
    <row r="2" spans="1:2" x14ac:dyDescent="0.3">
      <c r="A2" t="s">
        <v>9</v>
      </c>
      <c r="B2" t="s">
        <v>471</v>
      </c>
    </row>
    <row r="3" spans="1:2" x14ac:dyDescent="0.3">
      <c r="A3" t="s">
        <v>10</v>
      </c>
      <c r="B3" t="s">
        <v>13</v>
      </c>
    </row>
    <row r="4" spans="1:2" x14ac:dyDescent="0.3">
      <c r="A4" t="s">
        <v>2</v>
      </c>
      <c r="B4" t="s">
        <v>454</v>
      </c>
    </row>
    <row r="5" spans="1:2" x14ac:dyDescent="0.3">
      <c r="A5" t="s">
        <v>3</v>
      </c>
      <c r="B5" t="s">
        <v>458</v>
      </c>
    </row>
    <row r="6" spans="1:2" x14ac:dyDescent="0.3">
      <c r="A6" t="s">
        <v>4</v>
      </c>
      <c r="B6" t="s">
        <v>457</v>
      </c>
    </row>
    <row r="7" spans="1:2" x14ac:dyDescent="0.3">
      <c r="A7" t="s">
        <v>5</v>
      </c>
      <c r="B7" t="s">
        <v>455</v>
      </c>
    </row>
    <row r="8" spans="1:2" x14ac:dyDescent="0.3">
      <c r="A8" t="s">
        <v>6</v>
      </c>
      <c r="B8" t="s">
        <v>456</v>
      </c>
    </row>
    <row r="9" spans="1:2" x14ac:dyDescent="0.3">
      <c r="A9" t="s">
        <v>7</v>
      </c>
      <c r="B9" t="s">
        <v>14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0DE44-4F3D-4DA6-A8BA-518EC46E5F1B}">
  <sheetPr codeName="Sheet11"/>
  <dimension ref="A1:K28"/>
  <sheetViews>
    <sheetView topLeftCell="C1" zoomScale="90" zoomScaleNormal="90" workbookViewId="0">
      <selection activeCell="A28" sqref="A28"/>
    </sheetView>
  </sheetViews>
  <sheetFormatPr defaultRowHeight="14.4" x14ac:dyDescent="0.3"/>
  <cols>
    <col min="1" max="1" width="12.44140625" customWidth="1"/>
    <col min="2" max="2" width="105.44140625" customWidth="1"/>
    <col min="3" max="3" width="16.6640625" customWidth="1"/>
    <col min="4" max="4" width="15.5546875" customWidth="1"/>
    <col min="5" max="5" width="18.88671875" customWidth="1"/>
    <col min="6" max="6" width="10.6640625" customWidth="1"/>
    <col min="7" max="7" width="16.109375" customWidth="1"/>
    <col min="9" max="9" width="24.44140625" customWidth="1"/>
    <col min="10" max="10" width="13.33203125" customWidth="1"/>
  </cols>
  <sheetData>
    <row r="1" spans="1:11" x14ac:dyDescent="0.3">
      <c r="A1" s="1" t="s">
        <v>0</v>
      </c>
      <c r="B1" s="1" t="s">
        <v>1</v>
      </c>
      <c r="C1" s="1" t="s">
        <v>2</v>
      </c>
      <c r="D1" s="1" t="s">
        <v>3</v>
      </c>
      <c r="E1" s="1" t="s">
        <v>4</v>
      </c>
      <c r="F1" s="1" t="s">
        <v>5</v>
      </c>
      <c r="G1" s="1" t="s">
        <v>6</v>
      </c>
      <c r="H1" s="1" t="s">
        <v>7</v>
      </c>
      <c r="I1" s="1" t="s">
        <v>8</v>
      </c>
      <c r="J1" s="1" t="s">
        <v>10</v>
      </c>
      <c r="K1" s="1" t="s">
        <v>9</v>
      </c>
    </row>
    <row r="2" spans="1:11" ht="43.2" x14ac:dyDescent="0.3">
      <c r="A2" s="5">
        <v>1</v>
      </c>
      <c r="B2" s="6" t="s">
        <v>16</v>
      </c>
      <c r="C2">
        <v>2</v>
      </c>
      <c r="D2">
        <v>4</v>
      </c>
      <c r="E2">
        <v>4</v>
      </c>
      <c r="F2">
        <v>5</v>
      </c>
      <c r="G2">
        <v>5</v>
      </c>
      <c r="H2">
        <v>0</v>
      </c>
      <c r="I2">
        <v>65</v>
      </c>
      <c r="J2">
        <v>0</v>
      </c>
      <c r="K2">
        <v>3</v>
      </c>
    </row>
    <row r="3" spans="1:11" x14ac:dyDescent="0.3">
      <c r="A3" s="5">
        <v>2</v>
      </c>
      <c r="B3" s="6" t="s">
        <v>389</v>
      </c>
      <c r="C3">
        <v>2</v>
      </c>
      <c r="D3">
        <v>5</v>
      </c>
      <c r="E3">
        <v>4</v>
      </c>
      <c r="F3">
        <v>5</v>
      </c>
      <c r="G3">
        <v>5</v>
      </c>
      <c r="H3">
        <v>0</v>
      </c>
      <c r="I3">
        <v>64</v>
      </c>
      <c r="J3">
        <v>0</v>
      </c>
      <c r="K3">
        <v>3</v>
      </c>
    </row>
    <row r="4" spans="1:11" x14ac:dyDescent="0.3">
      <c r="A4" s="5">
        <v>3</v>
      </c>
      <c r="B4" s="6" t="s">
        <v>18</v>
      </c>
      <c r="C4">
        <v>2</v>
      </c>
      <c r="D4">
        <v>5</v>
      </c>
      <c r="E4">
        <v>4</v>
      </c>
      <c r="F4">
        <v>5</v>
      </c>
      <c r="G4">
        <v>5</v>
      </c>
      <c r="H4">
        <v>0</v>
      </c>
      <c r="I4">
        <v>25</v>
      </c>
      <c r="J4">
        <v>0</v>
      </c>
      <c r="K4">
        <v>3</v>
      </c>
    </row>
    <row r="5" spans="1:11" x14ac:dyDescent="0.3">
      <c r="A5" s="5">
        <v>4</v>
      </c>
      <c r="B5" s="6" t="s">
        <v>390</v>
      </c>
      <c r="C5">
        <v>2</v>
      </c>
      <c r="D5">
        <v>5</v>
      </c>
      <c r="E5">
        <v>4</v>
      </c>
      <c r="F5">
        <v>5</v>
      </c>
      <c r="G5">
        <v>5</v>
      </c>
      <c r="H5">
        <v>0</v>
      </c>
      <c r="I5">
        <v>55</v>
      </c>
      <c r="J5">
        <v>0</v>
      </c>
      <c r="K5">
        <v>3</v>
      </c>
    </row>
    <row r="6" spans="1:11" ht="28.8" x14ac:dyDescent="0.3">
      <c r="A6" s="5">
        <v>5</v>
      </c>
      <c r="B6" s="6" t="s">
        <v>391</v>
      </c>
      <c r="C6">
        <v>2</v>
      </c>
      <c r="D6">
        <v>5</v>
      </c>
      <c r="E6">
        <v>4</v>
      </c>
      <c r="F6">
        <v>5</v>
      </c>
      <c r="G6">
        <v>5</v>
      </c>
      <c r="H6">
        <v>0</v>
      </c>
      <c r="I6">
        <v>47</v>
      </c>
      <c r="J6">
        <v>0</v>
      </c>
      <c r="K6">
        <v>3</v>
      </c>
    </row>
    <row r="7" spans="1:11" ht="43.2" x14ac:dyDescent="0.3">
      <c r="A7" s="5">
        <v>6</v>
      </c>
      <c r="B7" s="6" t="s">
        <v>22</v>
      </c>
      <c r="C7">
        <v>2</v>
      </c>
      <c r="D7">
        <v>5</v>
      </c>
      <c r="E7">
        <v>4</v>
      </c>
      <c r="F7">
        <v>5</v>
      </c>
      <c r="G7">
        <v>5</v>
      </c>
      <c r="H7">
        <v>0</v>
      </c>
      <c r="I7">
        <v>44</v>
      </c>
      <c r="J7">
        <v>0</v>
      </c>
      <c r="K7">
        <v>3</v>
      </c>
    </row>
    <row r="8" spans="1:11" ht="28.8" x14ac:dyDescent="0.3">
      <c r="A8" s="5">
        <v>7</v>
      </c>
      <c r="B8" s="6" t="s">
        <v>392</v>
      </c>
      <c r="C8">
        <v>2</v>
      </c>
      <c r="D8">
        <v>5</v>
      </c>
      <c r="E8">
        <v>4</v>
      </c>
      <c r="F8">
        <v>5</v>
      </c>
      <c r="G8">
        <v>5</v>
      </c>
      <c r="H8">
        <v>0</v>
      </c>
      <c r="I8">
        <v>39</v>
      </c>
      <c r="J8">
        <v>0</v>
      </c>
      <c r="K8">
        <v>3</v>
      </c>
    </row>
    <row r="9" spans="1:11" x14ac:dyDescent="0.3">
      <c r="A9" s="5">
        <v>8</v>
      </c>
      <c r="B9" s="6" t="s">
        <v>393</v>
      </c>
      <c r="C9">
        <v>2</v>
      </c>
      <c r="D9">
        <v>5</v>
      </c>
      <c r="E9">
        <v>4</v>
      </c>
      <c r="F9">
        <v>4</v>
      </c>
      <c r="G9">
        <v>4</v>
      </c>
      <c r="H9">
        <v>0</v>
      </c>
      <c r="I9">
        <v>74</v>
      </c>
      <c r="J9">
        <v>0</v>
      </c>
      <c r="K9">
        <v>3</v>
      </c>
    </row>
    <row r="10" spans="1:11" ht="28.8" x14ac:dyDescent="0.3">
      <c r="A10" s="5">
        <v>9</v>
      </c>
      <c r="B10" s="6" t="s">
        <v>26</v>
      </c>
      <c r="C10">
        <v>1</v>
      </c>
      <c r="D10">
        <v>5</v>
      </c>
      <c r="E10">
        <v>4</v>
      </c>
      <c r="F10">
        <v>5</v>
      </c>
      <c r="G10">
        <v>5</v>
      </c>
      <c r="H10">
        <v>0</v>
      </c>
      <c r="I10">
        <v>30</v>
      </c>
      <c r="J10">
        <v>0</v>
      </c>
      <c r="K10">
        <v>3</v>
      </c>
    </row>
    <row r="11" spans="1:11" ht="43.2" x14ac:dyDescent="0.3">
      <c r="A11" s="5">
        <v>10</v>
      </c>
      <c r="B11" s="6" t="s">
        <v>28</v>
      </c>
      <c r="C11">
        <v>2</v>
      </c>
      <c r="D11">
        <v>5</v>
      </c>
      <c r="E11">
        <v>4</v>
      </c>
      <c r="F11">
        <v>5</v>
      </c>
      <c r="G11">
        <v>5</v>
      </c>
      <c r="H11">
        <v>0</v>
      </c>
      <c r="I11">
        <v>64</v>
      </c>
      <c r="J11">
        <v>0</v>
      </c>
      <c r="K11">
        <v>3</v>
      </c>
    </row>
    <row r="12" spans="1:11" x14ac:dyDescent="0.3">
      <c r="A12" s="5">
        <v>11</v>
      </c>
      <c r="B12" s="6" t="s">
        <v>30</v>
      </c>
      <c r="C12">
        <v>2</v>
      </c>
      <c r="D12">
        <v>5</v>
      </c>
      <c r="E12">
        <v>4</v>
      </c>
      <c r="F12">
        <v>5</v>
      </c>
      <c r="G12">
        <v>5</v>
      </c>
      <c r="H12">
        <v>0</v>
      </c>
      <c r="I12">
        <v>18</v>
      </c>
      <c r="J12">
        <v>0</v>
      </c>
      <c r="K12">
        <v>3</v>
      </c>
    </row>
    <row r="13" spans="1:11" x14ac:dyDescent="0.3">
      <c r="A13" s="5">
        <v>12</v>
      </c>
      <c r="B13" s="6" t="s">
        <v>32</v>
      </c>
      <c r="C13">
        <v>2</v>
      </c>
      <c r="D13">
        <v>5</v>
      </c>
      <c r="E13">
        <v>4</v>
      </c>
      <c r="F13">
        <v>5</v>
      </c>
      <c r="G13">
        <v>5</v>
      </c>
      <c r="H13">
        <v>0</v>
      </c>
      <c r="I13">
        <v>21</v>
      </c>
      <c r="J13">
        <v>0</v>
      </c>
      <c r="K13">
        <v>3</v>
      </c>
    </row>
    <row r="14" spans="1:11" x14ac:dyDescent="0.3">
      <c r="A14" s="5">
        <v>13</v>
      </c>
      <c r="B14" s="6" t="s">
        <v>394</v>
      </c>
      <c r="C14">
        <v>2</v>
      </c>
      <c r="D14">
        <v>5</v>
      </c>
      <c r="E14">
        <v>4</v>
      </c>
      <c r="F14">
        <v>5</v>
      </c>
      <c r="G14">
        <v>5</v>
      </c>
      <c r="H14">
        <v>0</v>
      </c>
      <c r="I14">
        <v>34</v>
      </c>
      <c r="J14">
        <v>0</v>
      </c>
      <c r="K14">
        <v>3</v>
      </c>
    </row>
    <row r="15" spans="1:11" x14ac:dyDescent="0.3">
      <c r="A15" s="5">
        <v>14</v>
      </c>
      <c r="B15" s="6" t="s">
        <v>35</v>
      </c>
      <c r="C15">
        <v>2</v>
      </c>
      <c r="D15">
        <v>5</v>
      </c>
      <c r="E15">
        <v>4</v>
      </c>
      <c r="F15">
        <v>5</v>
      </c>
      <c r="G15">
        <v>5</v>
      </c>
      <c r="H15">
        <v>0</v>
      </c>
      <c r="I15">
        <v>21</v>
      </c>
      <c r="J15">
        <v>0</v>
      </c>
      <c r="K15">
        <v>3</v>
      </c>
    </row>
    <row r="16" spans="1:11" ht="28.8" x14ac:dyDescent="0.3">
      <c r="A16" s="5">
        <v>15</v>
      </c>
      <c r="B16" s="6" t="s">
        <v>37</v>
      </c>
      <c r="C16">
        <v>2</v>
      </c>
      <c r="D16">
        <v>5</v>
      </c>
      <c r="E16">
        <v>4</v>
      </c>
      <c r="F16">
        <v>5</v>
      </c>
      <c r="G16">
        <v>5</v>
      </c>
      <c r="H16">
        <v>0</v>
      </c>
      <c r="I16">
        <v>26</v>
      </c>
      <c r="J16">
        <v>0</v>
      </c>
      <c r="K16">
        <v>3</v>
      </c>
    </row>
    <row r="17" spans="1:11" x14ac:dyDescent="0.3">
      <c r="A17" s="5">
        <v>16</v>
      </c>
      <c r="B17" s="6" t="s">
        <v>39</v>
      </c>
      <c r="C17">
        <v>2</v>
      </c>
      <c r="D17">
        <v>5</v>
      </c>
      <c r="E17">
        <v>4</v>
      </c>
      <c r="F17">
        <v>5</v>
      </c>
      <c r="G17">
        <v>5</v>
      </c>
      <c r="H17">
        <v>0</v>
      </c>
      <c r="I17">
        <v>25</v>
      </c>
      <c r="J17">
        <v>0</v>
      </c>
      <c r="K17">
        <v>3</v>
      </c>
    </row>
    <row r="18" spans="1:11" x14ac:dyDescent="0.3">
      <c r="A18" s="5">
        <v>17</v>
      </c>
      <c r="B18" s="6" t="s">
        <v>45</v>
      </c>
      <c r="C18">
        <v>2</v>
      </c>
      <c r="D18">
        <v>5</v>
      </c>
      <c r="E18">
        <v>4</v>
      </c>
      <c r="F18">
        <v>5</v>
      </c>
      <c r="G18">
        <v>5</v>
      </c>
      <c r="H18">
        <v>0</v>
      </c>
      <c r="I18">
        <v>20</v>
      </c>
      <c r="J18">
        <v>0</v>
      </c>
      <c r="K18">
        <v>3</v>
      </c>
    </row>
    <row r="19" spans="1:11" x14ac:dyDescent="0.3">
      <c r="A19" s="5">
        <v>18</v>
      </c>
      <c r="B19" s="6" t="s">
        <v>395</v>
      </c>
      <c r="C19">
        <v>2</v>
      </c>
      <c r="D19">
        <v>5</v>
      </c>
      <c r="E19">
        <v>4</v>
      </c>
      <c r="F19">
        <v>5</v>
      </c>
      <c r="G19">
        <v>5</v>
      </c>
      <c r="H19">
        <v>0</v>
      </c>
      <c r="I19">
        <v>32</v>
      </c>
      <c r="J19">
        <v>0</v>
      </c>
      <c r="K19">
        <v>3</v>
      </c>
    </row>
    <row r="20" spans="1:11" x14ac:dyDescent="0.3">
      <c r="A20" s="5">
        <v>19</v>
      </c>
      <c r="B20" s="6" t="s">
        <v>396</v>
      </c>
      <c r="C20">
        <v>2</v>
      </c>
      <c r="D20">
        <v>5</v>
      </c>
      <c r="E20">
        <v>4</v>
      </c>
      <c r="F20">
        <v>5</v>
      </c>
      <c r="G20">
        <v>5</v>
      </c>
      <c r="H20">
        <v>0</v>
      </c>
      <c r="I20">
        <v>86</v>
      </c>
      <c r="J20">
        <v>0</v>
      </c>
      <c r="K20">
        <v>3</v>
      </c>
    </row>
    <row r="21" spans="1:11" ht="28.8" x14ac:dyDescent="0.3">
      <c r="A21" s="5">
        <v>20</v>
      </c>
      <c r="B21" s="6" t="s">
        <v>277</v>
      </c>
      <c r="C21">
        <v>2</v>
      </c>
      <c r="D21">
        <v>5</v>
      </c>
      <c r="E21">
        <v>4</v>
      </c>
      <c r="F21">
        <v>5</v>
      </c>
      <c r="G21">
        <v>5</v>
      </c>
      <c r="H21">
        <v>0</v>
      </c>
      <c r="I21">
        <v>27</v>
      </c>
      <c r="J21">
        <v>0</v>
      </c>
      <c r="K21">
        <v>3</v>
      </c>
    </row>
    <row r="22" spans="1:11" x14ac:dyDescent="0.3">
      <c r="A22" s="5">
        <v>21</v>
      </c>
      <c r="B22" s="6" t="s">
        <v>61</v>
      </c>
      <c r="C22">
        <v>2</v>
      </c>
      <c r="D22">
        <v>5</v>
      </c>
      <c r="E22">
        <v>4</v>
      </c>
      <c r="F22">
        <v>5</v>
      </c>
      <c r="G22">
        <v>5</v>
      </c>
      <c r="H22">
        <v>0</v>
      </c>
      <c r="I22">
        <v>40</v>
      </c>
      <c r="J22">
        <v>0</v>
      </c>
      <c r="K22">
        <v>3</v>
      </c>
    </row>
    <row r="23" spans="1:11" x14ac:dyDescent="0.3">
      <c r="A23" s="5">
        <v>22</v>
      </c>
      <c r="B23" s="6" t="s">
        <v>397</v>
      </c>
      <c r="C23">
        <v>2</v>
      </c>
      <c r="D23">
        <v>5</v>
      </c>
      <c r="E23">
        <v>4</v>
      </c>
      <c r="F23">
        <v>5</v>
      </c>
      <c r="G23">
        <v>5</v>
      </c>
      <c r="H23">
        <v>0</v>
      </c>
      <c r="I23">
        <v>38</v>
      </c>
      <c r="J23">
        <v>0</v>
      </c>
      <c r="K23">
        <v>3</v>
      </c>
    </row>
    <row r="24" spans="1:11" x14ac:dyDescent="0.3">
      <c r="A24" s="5">
        <v>23</v>
      </c>
      <c r="B24" s="6" t="s">
        <v>398</v>
      </c>
      <c r="C24">
        <v>2</v>
      </c>
      <c r="D24">
        <v>5</v>
      </c>
      <c r="E24">
        <v>4</v>
      </c>
      <c r="F24">
        <v>5</v>
      </c>
      <c r="G24">
        <v>5</v>
      </c>
      <c r="H24">
        <v>0</v>
      </c>
      <c r="I24">
        <v>42</v>
      </c>
      <c r="J24">
        <v>0</v>
      </c>
      <c r="K24">
        <v>3</v>
      </c>
    </row>
    <row r="25" spans="1:11" x14ac:dyDescent="0.3">
      <c r="A25" s="5">
        <v>24</v>
      </c>
      <c r="B25" s="6" t="s">
        <v>65</v>
      </c>
      <c r="C25">
        <v>1</v>
      </c>
      <c r="D25">
        <v>5</v>
      </c>
      <c r="E25">
        <v>4</v>
      </c>
      <c r="F25">
        <v>3</v>
      </c>
      <c r="G25">
        <v>3</v>
      </c>
      <c r="H25">
        <v>1</v>
      </c>
      <c r="I25">
        <v>38</v>
      </c>
      <c r="J25">
        <v>0</v>
      </c>
      <c r="K25">
        <v>3</v>
      </c>
    </row>
    <row r="26" spans="1:11" x14ac:dyDescent="0.3">
      <c r="A26" s="5">
        <v>25</v>
      </c>
      <c r="B26" s="6" t="s">
        <v>399</v>
      </c>
      <c r="C26">
        <v>1</v>
      </c>
      <c r="D26">
        <v>5</v>
      </c>
      <c r="E26">
        <v>4</v>
      </c>
      <c r="F26">
        <v>3</v>
      </c>
      <c r="G26">
        <v>3</v>
      </c>
      <c r="H26">
        <v>1</v>
      </c>
      <c r="I26">
        <v>34</v>
      </c>
      <c r="J26">
        <v>0</v>
      </c>
      <c r="K26">
        <v>3</v>
      </c>
    </row>
    <row r="27" spans="1:11" x14ac:dyDescent="0.3">
      <c r="A27" s="5">
        <v>26</v>
      </c>
      <c r="B27" s="6" t="s">
        <v>69</v>
      </c>
      <c r="C27">
        <v>2</v>
      </c>
      <c r="D27">
        <v>5</v>
      </c>
      <c r="E27">
        <v>5</v>
      </c>
      <c r="F27">
        <v>5</v>
      </c>
      <c r="G27">
        <v>5</v>
      </c>
      <c r="H27">
        <v>0</v>
      </c>
      <c r="I27">
        <v>61</v>
      </c>
      <c r="J27">
        <v>0</v>
      </c>
      <c r="K27">
        <v>3</v>
      </c>
    </row>
    <row r="28" spans="1:11" x14ac:dyDescent="0.3">
      <c r="A28" s="5">
        <v>27</v>
      </c>
      <c r="B28" s="6" t="s">
        <v>71</v>
      </c>
      <c r="C28">
        <v>2</v>
      </c>
      <c r="D28">
        <v>5</v>
      </c>
      <c r="E28">
        <v>5</v>
      </c>
      <c r="F28">
        <v>5</v>
      </c>
      <c r="G28">
        <v>5</v>
      </c>
      <c r="H28">
        <v>0</v>
      </c>
      <c r="I28">
        <v>98</v>
      </c>
      <c r="J28">
        <v>0</v>
      </c>
      <c r="K28">
        <v>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06712-213C-4C71-9DCC-B1C6A8E3FC56}">
  <sheetPr codeName="Sheet10"/>
  <dimension ref="A1:K28"/>
  <sheetViews>
    <sheetView topLeftCell="C1" zoomScale="90" zoomScaleNormal="90" workbookViewId="0">
      <selection activeCell="M18" sqref="M18"/>
    </sheetView>
  </sheetViews>
  <sheetFormatPr defaultRowHeight="14.4" x14ac:dyDescent="0.3"/>
  <cols>
    <col min="1" max="1" width="12.44140625" customWidth="1"/>
    <col min="2" max="2" width="105.44140625" customWidth="1"/>
    <col min="3" max="3" width="16.6640625" customWidth="1"/>
    <col min="4" max="4" width="15.5546875" customWidth="1"/>
    <col min="5" max="5" width="18.88671875" customWidth="1"/>
    <col min="6" max="6" width="10.6640625" customWidth="1"/>
    <col min="7" max="7" width="16.109375" customWidth="1"/>
    <col min="9" max="9" width="24.44140625" customWidth="1"/>
    <col min="10" max="10" width="13.33203125" customWidth="1"/>
  </cols>
  <sheetData>
    <row r="1" spans="1:11" x14ac:dyDescent="0.3">
      <c r="A1" s="1" t="s">
        <v>0</v>
      </c>
      <c r="B1" s="1" t="s">
        <v>1</v>
      </c>
      <c r="C1" s="1" t="s">
        <v>2</v>
      </c>
      <c r="D1" s="1" t="s">
        <v>3</v>
      </c>
      <c r="E1" s="1" t="s">
        <v>4</v>
      </c>
      <c r="F1" s="1" t="s">
        <v>5</v>
      </c>
      <c r="G1" s="1" t="s">
        <v>6</v>
      </c>
      <c r="H1" s="1" t="s">
        <v>7</v>
      </c>
      <c r="I1" s="1" t="s">
        <v>8</v>
      </c>
      <c r="J1" s="1" t="s">
        <v>10</v>
      </c>
      <c r="K1" s="1" t="s">
        <v>9</v>
      </c>
    </row>
    <row r="2" spans="1:11" ht="43.2" x14ac:dyDescent="0.3">
      <c r="A2" s="5">
        <v>1</v>
      </c>
      <c r="B2" s="6" t="s">
        <v>16</v>
      </c>
      <c r="C2">
        <v>2</v>
      </c>
      <c r="D2">
        <v>2</v>
      </c>
      <c r="E2">
        <v>5</v>
      </c>
      <c r="F2">
        <v>5</v>
      </c>
      <c r="G2">
        <v>5</v>
      </c>
      <c r="H2">
        <v>0</v>
      </c>
      <c r="I2">
        <v>188</v>
      </c>
      <c r="J2">
        <v>0</v>
      </c>
      <c r="K2">
        <v>3</v>
      </c>
    </row>
    <row r="3" spans="1:11" x14ac:dyDescent="0.3">
      <c r="A3" s="5">
        <v>2</v>
      </c>
      <c r="B3" s="6" t="s">
        <v>389</v>
      </c>
      <c r="C3">
        <v>1</v>
      </c>
      <c r="D3">
        <v>2</v>
      </c>
      <c r="E3">
        <v>5</v>
      </c>
      <c r="F3">
        <v>4</v>
      </c>
      <c r="G3">
        <v>4</v>
      </c>
      <c r="H3">
        <v>1</v>
      </c>
      <c r="I3">
        <v>307</v>
      </c>
      <c r="J3">
        <v>0</v>
      </c>
      <c r="K3">
        <v>3</v>
      </c>
    </row>
    <row r="4" spans="1:11" x14ac:dyDescent="0.3">
      <c r="A4" s="5">
        <v>3</v>
      </c>
      <c r="B4" s="6" t="s">
        <v>18</v>
      </c>
      <c r="C4">
        <v>1</v>
      </c>
      <c r="D4">
        <v>2</v>
      </c>
      <c r="E4">
        <v>5</v>
      </c>
      <c r="F4">
        <v>3</v>
      </c>
      <c r="G4">
        <v>3</v>
      </c>
      <c r="H4">
        <v>1</v>
      </c>
      <c r="I4">
        <v>291</v>
      </c>
      <c r="J4">
        <v>0</v>
      </c>
      <c r="K4">
        <v>3</v>
      </c>
    </row>
    <row r="5" spans="1:11" x14ac:dyDescent="0.3">
      <c r="A5" s="5">
        <v>4</v>
      </c>
      <c r="B5" s="6" t="s">
        <v>390</v>
      </c>
      <c r="C5">
        <v>1</v>
      </c>
      <c r="D5">
        <v>2</v>
      </c>
      <c r="E5">
        <v>5</v>
      </c>
      <c r="F5">
        <v>3</v>
      </c>
      <c r="G5">
        <v>3</v>
      </c>
      <c r="H5">
        <v>1</v>
      </c>
      <c r="I5">
        <v>113</v>
      </c>
      <c r="J5">
        <v>0</v>
      </c>
      <c r="K5">
        <v>3</v>
      </c>
    </row>
    <row r="6" spans="1:11" ht="28.8" x14ac:dyDescent="0.3">
      <c r="A6" s="5">
        <v>5</v>
      </c>
      <c r="B6" s="6" t="s">
        <v>391</v>
      </c>
      <c r="C6">
        <v>2</v>
      </c>
      <c r="D6">
        <v>2</v>
      </c>
      <c r="E6">
        <v>5</v>
      </c>
      <c r="F6">
        <v>4</v>
      </c>
      <c r="G6">
        <v>4</v>
      </c>
      <c r="H6">
        <v>0</v>
      </c>
      <c r="I6">
        <v>208</v>
      </c>
      <c r="J6">
        <v>0</v>
      </c>
      <c r="K6">
        <v>3</v>
      </c>
    </row>
    <row r="7" spans="1:11" ht="43.2" x14ac:dyDescent="0.3">
      <c r="A7" s="5">
        <v>6</v>
      </c>
      <c r="B7" s="6" t="s">
        <v>22</v>
      </c>
      <c r="C7">
        <v>1</v>
      </c>
      <c r="D7">
        <v>1</v>
      </c>
      <c r="E7">
        <v>5</v>
      </c>
      <c r="F7">
        <v>3</v>
      </c>
      <c r="G7">
        <v>4</v>
      </c>
      <c r="H7">
        <v>0</v>
      </c>
      <c r="I7">
        <v>395</v>
      </c>
      <c r="J7">
        <v>0</v>
      </c>
      <c r="K7">
        <v>3</v>
      </c>
    </row>
    <row r="8" spans="1:11" ht="28.8" x14ac:dyDescent="0.3">
      <c r="A8" s="5">
        <v>7</v>
      </c>
      <c r="B8" s="6" t="s">
        <v>392</v>
      </c>
      <c r="C8">
        <v>1</v>
      </c>
      <c r="D8">
        <v>2</v>
      </c>
      <c r="E8">
        <v>5</v>
      </c>
      <c r="F8">
        <v>3</v>
      </c>
      <c r="G8">
        <v>4</v>
      </c>
      <c r="H8">
        <v>1</v>
      </c>
      <c r="I8">
        <v>216</v>
      </c>
      <c r="J8">
        <v>0</v>
      </c>
      <c r="K8">
        <v>3</v>
      </c>
    </row>
    <row r="9" spans="1:11" x14ac:dyDescent="0.3">
      <c r="A9" s="5">
        <v>8</v>
      </c>
      <c r="B9" s="6" t="s">
        <v>393</v>
      </c>
      <c r="C9">
        <v>0</v>
      </c>
      <c r="D9">
        <v>2</v>
      </c>
      <c r="E9">
        <v>5</v>
      </c>
      <c r="F9">
        <v>3</v>
      </c>
      <c r="G9">
        <v>3</v>
      </c>
      <c r="H9">
        <v>1</v>
      </c>
      <c r="I9">
        <v>233</v>
      </c>
      <c r="J9">
        <v>0</v>
      </c>
      <c r="K9">
        <v>3</v>
      </c>
    </row>
    <row r="10" spans="1:11" ht="28.8" x14ac:dyDescent="0.3">
      <c r="A10" s="5">
        <v>9</v>
      </c>
      <c r="B10" s="6" t="s">
        <v>26</v>
      </c>
      <c r="C10">
        <v>0</v>
      </c>
      <c r="D10">
        <v>2</v>
      </c>
      <c r="E10">
        <v>5</v>
      </c>
      <c r="F10">
        <v>4</v>
      </c>
      <c r="G10">
        <v>3</v>
      </c>
      <c r="H10">
        <v>1</v>
      </c>
      <c r="I10">
        <v>256</v>
      </c>
      <c r="J10">
        <v>0</v>
      </c>
      <c r="K10">
        <v>3</v>
      </c>
    </row>
    <row r="11" spans="1:11" ht="43.2" x14ac:dyDescent="0.3">
      <c r="A11" s="5">
        <v>10</v>
      </c>
      <c r="B11" s="6" t="s">
        <v>28</v>
      </c>
      <c r="C11">
        <v>1</v>
      </c>
      <c r="D11">
        <v>2</v>
      </c>
      <c r="E11">
        <v>5</v>
      </c>
      <c r="F11">
        <v>4</v>
      </c>
      <c r="G11">
        <v>4</v>
      </c>
      <c r="H11">
        <v>1</v>
      </c>
      <c r="I11">
        <v>220</v>
      </c>
      <c r="J11">
        <v>0</v>
      </c>
      <c r="K11">
        <v>3</v>
      </c>
    </row>
    <row r="12" spans="1:11" x14ac:dyDescent="0.3">
      <c r="A12" s="5">
        <v>11</v>
      </c>
      <c r="B12" s="6" t="s">
        <v>30</v>
      </c>
      <c r="C12">
        <v>2</v>
      </c>
      <c r="D12">
        <v>2</v>
      </c>
      <c r="E12">
        <v>5</v>
      </c>
      <c r="F12">
        <v>4</v>
      </c>
      <c r="G12">
        <v>3</v>
      </c>
      <c r="H12">
        <v>0</v>
      </c>
      <c r="I12">
        <v>290</v>
      </c>
      <c r="J12">
        <v>0</v>
      </c>
      <c r="K12">
        <v>3</v>
      </c>
    </row>
    <row r="13" spans="1:11" x14ac:dyDescent="0.3">
      <c r="A13" s="5">
        <v>12</v>
      </c>
      <c r="B13" s="6" t="s">
        <v>32</v>
      </c>
      <c r="C13">
        <v>1</v>
      </c>
      <c r="D13">
        <v>2</v>
      </c>
      <c r="E13">
        <v>5</v>
      </c>
      <c r="F13">
        <v>3</v>
      </c>
      <c r="G13">
        <v>3</v>
      </c>
      <c r="H13">
        <v>1</v>
      </c>
      <c r="I13">
        <v>183</v>
      </c>
      <c r="J13">
        <v>0</v>
      </c>
      <c r="K13">
        <v>3</v>
      </c>
    </row>
    <row r="14" spans="1:11" x14ac:dyDescent="0.3">
      <c r="A14" s="5">
        <v>13</v>
      </c>
      <c r="B14" s="6" t="s">
        <v>394</v>
      </c>
      <c r="C14">
        <v>0</v>
      </c>
      <c r="D14">
        <v>2</v>
      </c>
      <c r="E14">
        <v>5</v>
      </c>
      <c r="F14">
        <v>3</v>
      </c>
      <c r="G14">
        <v>2</v>
      </c>
      <c r="H14">
        <v>1</v>
      </c>
      <c r="I14">
        <v>190</v>
      </c>
      <c r="J14">
        <v>0</v>
      </c>
      <c r="K14">
        <v>3</v>
      </c>
    </row>
    <row r="15" spans="1:11" x14ac:dyDescent="0.3">
      <c r="A15" s="5">
        <v>14</v>
      </c>
      <c r="B15" s="6" t="s">
        <v>35</v>
      </c>
      <c r="C15">
        <v>1</v>
      </c>
      <c r="D15">
        <v>2</v>
      </c>
      <c r="E15">
        <v>4</v>
      </c>
      <c r="F15">
        <v>4</v>
      </c>
      <c r="G15">
        <v>2</v>
      </c>
      <c r="H15">
        <v>0</v>
      </c>
      <c r="I15">
        <v>239</v>
      </c>
      <c r="J15">
        <v>0</v>
      </c>
      <c r="K15">
        <v>3</v>
      </c>
    </row>
    <row r="16" spans="1:11" ht="28.8" x14ac:dyDescent="0.3">
      <c r="A16" s="5">
        <v>15</v>
      </c>
      <c r="B16" s="6" t="s">
        <v>37</v>
      </c>
      <c r="C16">
        <v>2</v>
      </c>
      <c r="D16">
        <v>2</v>
      </c>
      <c r="E16">
        <v>4</v>
      </c>
      <c r="F16">
        <v>4</v>
      </c>
      <c r="G16">
        <v>3</v>
      </c>
      <c r="H16">
        <v>0</v>
      </c>
      <c r="I16">
        <v>259</v>
      </c>
      <c r="J16">
        <v>0</v>
      </c>
      <c r="K16">
        <v>3</v>
      </c>
    </row>
    <row r="17" spans="1:11" x14ac:dyDescent="0.3">
      <c r="A17" s="5">
        <v>16</v>
      </c>
      <c r="B17" s="6" t="s">
        <v>39</v>
      </c>
      <c r="C17">
        <v>1</v>
      </c>
      <c r="D17">
        <v>2</v>
      </c>
      <c r="E17">
        <v>5</v>
      </c>
      <c r="F17">
        <v>4</v>
      </c>
      <c r="G17">
        <v>4</v>
      </c>
      <c r="H17">
        <v>1</v>
      </c>
      <c r="I17">
        <v>202</v>
      </c>
      <c r="J17">
        <v>0</v>
      </c>
      <c r="K17">
        <v>3</v>
      </c>
    </row>
    <row r="18" spans="1:11" x14ac:dyDescent="0.3">
      <c r="A18" s="5">
        <v>17</v>
      </c>
      <c r="B18" s="6" t="s">
        <v>45</v>
      </c>
      <c r="C18">
        <v>0</v>
      </c>
      <c r="D18">
        <v>1</v>
      </c>
      <c r="E18">
        <v>4</v>
      </c>
      <c r="F18">
        <v>4</v>
      </c>
      <c r="G18">
        <v>2</v>
      </c>
      <c r="H18">
        <v>1</v>
      </c>
      <c r="I18">
        <v>350</v>
      </c>
      <c r="J18">
        <v>0</v>
      </c>
      <c r="K18">
        <v>3</v>
      </c>
    </row>
    <row r="19" spans="1:11" x14ac:dyDescent="0.3">
      <c r="A19" s="5">
        <v>18</v>
      </c>
      <c r="B19" s="6" t="s">
        <v>395</v>
      </c>
      <c r="C19">
        <v>0</v>
      </c>
      <c r="D19">
        <v>2</v>
      </c>
      <c r="E19">
        <v>5</v>
      </c>
      <c r="F19">
        <v>2</v>
      </c>
      <c r="G19">
        <v>2</v>
      </c>
      <c r="H19">
        <v>1</v>
      </c>
      <c r="I19">
        <v>286</v>
      </c>
      <c r="J19">
        <v>0</v>
      </c>
      <c r="K19">
        <v>3</v>
      </c>
    </row>
    <row r="20" spans="1:11" x14ac:dyDescent="0.3">
      <c r="A20" s="5">
        <v>19</v>
      </c>
      <c r="B20" s="6" t="s">
        <v>396</v>
      </c>
      <c r="C20">
        <v>1</v>
      </c>
      <c r="D20">
        <v>2</v>
      </c>
      <c r="E20">
        <v>5</v>
      </c>
      <c r="F20">
        <v>2</v>
      </c>
      <c r="G20">
        <v>2</v>
      </c>
      <c r="H20">
        <v>1</v>
      </c>
      <c r="I20">
        <v>365</v>
      </c>
      <c r="J20">
        <v>0</v>
      </c>
      <c r="K20">
        <v>3</v>
      </c>
    </row>
    <row r="21" spans="1:11" ht="28.8" x14ac:dyDescent="0.3">
      <c r="A21" s="5">
        <v>20</v>
      </c>
      <c r="B21" s="6" t="s">
        <v>277</v>
      </c>
      <c r="C21">
        <v>2</v>
      </c>
      <c r="D21">
        <v>2</v>
      </c>
      <c r="E21">
        <v>5</v>
      </c>
      <c r="F21">
        <v>3</v>
      </c>
      <c r="G21">
        <v>2</v>
      </c>
      <c r="H21">
        <v>1</v>
      </c>
      <c r="I21">
        <v>276</v>
      </c>
      <c r="J21">
        <v>0</v>
      </c>
      <c r="K21">
        <v>3</v>
      </c>
    </row>
    <row r="22" spans="1:11" x14ac:dyDescent="0.3">
      <c r="A22" s="5">
        <v>21</v>
      </c>
      <c r="B22" s="6" t="s">
        <v>61</v>
      </c>
      <c r="C22">
        <v>1</v>
      </c>
      <c r="D22">
        <v>2</v>
      </c>
      <c r="E22">
        <v>5</v>
      </c>
      <c r="F22">
        <v>3</v>
      </c>
      <c r="G22">
        <v>3</v>
      </c>
      <c r="H22">
        <v>1</v>
      </c>
      <c r="I22">
        <v>172</v>
      </c>
      <c r="J22">
        <v>0</v>
      </c>
      <c r="K22">
        <v>3</v>
      </c>
    </row>
    <row r="23" spans="1:11" x14ac:dyDescent="0.3">
      <c r="A23" s="5">
        <v>22</v>
      </c>
      <c r="B23" s="6" t="s">
        <v>397</v>
      </c>
      <c r="C23">
        <v>0</v>
      </c>
      <c r="D23">
        <v>2</v>
      </c>
      <c r="E23">
        <v>4</v>
      </c>
      <c r="F23">
        <v>2</v>
      </c>
      <c r="G23">
        <v>3</v>
      </c>
      <c r="H23">
        <v>1</v>
      </c>
      <c r="I23">
        <v>164</v>
      </c>
      <c r="J23">
        <v>0</v>
      </c>
      <c r="K23">
        <v>3</v>
      </c>
    </row>
    <row r="24" spans="1:11" x14ac:dyDescent="0.3">
      <c r="A24" s="5">
        <v>23</v>
      </c>
      <c r="B24" s="6" t="s">
        <v>398</v>
      </c>
      <c r="C24">
        <v>0</v>
      </c>
      <c r="D24">
        <v>2</v>
      </c>
      <c r="E24">
        <v>4</v>
      </c>
      <c r="F24">
        <v>2</v>
      </c>
      <c r="G24">
        <v>2</v>
      </c>
      <c r="H24">
        <v>1</v>
      </c>
      <c r="I24">
        <v>187</v>
      </c>
      <c r="J24">
        <v>0</v>
      </c>
      <c r="K24">
        <v>3</v>
      </c>
    </row>
    <row r="25" spans="1:11" x14ac:dyDescent="0.3">
      <c r="A25" s="5">
        <v>24</v>
      </c>
      <c r="B25" s="6" t="s">
        <v>65</v>
      </c>
      <c r="C25">
        <v>0</v>
      </c>
      <c r="D25">
        <v>2</v>
      </c>
      <c r="E25">
        <v>5</v>
      </c>
      <c r="F25">
        <v>3</v>
      </c>
      <c r="G25">
        <v>2</v>
      </c>
      <c r="H25">
        <v>1</v>
      </c>
      <c r="I25">
        <v>242</v>
      </c>
      <c r="J25">
        <v>0</v>
      </c>
      <c r="K25">
        <v>3</v>
      </c>
    </row>
    <row r="26" spans="1:11" x14ac:dyDescent="0.3">
      <c r="A26" s="5">
        <v>25</v>
      </c>
      <c r="B26" s="6" t="s">
        <v>399</v>
      </c>
      <c r="C26">
        <v>1</v>
      </c>
      <c r="D26">
        <v>2</v>
      </c>
      <c r="E26">
        <v>4</v>
      </c>
      <c r="F26">
        <v>3</v>
      </c>
      <c r="G26">
        <v>2</v>
      </c>
      <c r="H26">
        <v>1</v>
      </c>
      <c r="I26">
        <v>256</v>
      </c>
      <c r="J26">
        <v>0</v>
      </c>
      <c r="K26">
        <v>3</v>
      </c>
    </row>
    <row r="27" spans="1:11" x14ac:dyDescent="0.3">
      <c r="A27" s="5">
        <v>26</v>
      </c>
      <c r="B27" s="6" t="s">
        <v>69</v>
      </c>
      <c r="C27">
        <v>1</v>
      </c>
      <c r="D27">
        <v>2</v>
      </c>
      <c r="E27">
        <v>4</v>
      </c>
      <c r="F27">
        <v>3</v>
      </c>
      <c r="G27">
        <v>2</v>
      </c>
      <c r="H27">
        <v>1</v>
      </c>
      <c r="I27">
        <v>311</v>
      </c>
      <c r="J27">
        <v>0</v>
      </c>
      <c r="K27">
        <v>3</v>
      </c>
    </row>
    <row r="28" spans="1:11" x14ac:dyDescent="0.3">
      <c r="A28" s="5">
        <v>27</v>
      </c>
      <c r="B28" s="6" t="s">
        <v>71</v>
      </c>
      <c r="C28">
        <v>1</v>
      </c>
      <c r="D28">
        <v>1</v>
      </c>
      <c r="E28">
        <v>4</v>
      </c>
      <c r="F28">
        <v>2</v>
      </c>
      <c r="G28">
        <v>1</v>
      </c>
      <c r="H28">
        <v>1</v>
      </c>
      <c r="I28">
        <v>439</v>
      </c>
      <c r="J28">
        <v>0</v>
      </c>
      <c r="K28">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17DF4-881A-44ED-9CEE-9BD78ED05023}">
  <sheetPr codeName="Sheet9"/>
  <dimension ref="A1:K28"/>
  <sheetViews>
    <sheetView topLeftCell="C1" zoomScale="90" zoomScaleNormal="90" workbookViewId="0">
      <selection activeCell="K21" sqref="K21"/>
    </sheetView>
  </sheetViews>
  <sheetFormatPr defaultRowHeight="14.4" x14ac:dyDescent="0.3"/>
  <cols>
    <col min="1" max="1" width="12.44140625" customWidth="1"/>
    <col min="2" max="2" width="105.44140625" customWidth="1"/>
    <col min="3" max="3" width="16.6640625" customWidth="1"/>
    <col min="4" max="4" width="15.5546875" customWidth="1"/>
    <col min="5" max="5" width="18.88671875" customWidth="1"/>
    <col min="6" max="6" width="10.6640625" customWidth="1"/>
    <col min="7" max="7" width="16.109375" customWidth="1"/>
    <col min="9" max="9" width="24.44140625" customWidth="1"/>
    <col min="10" max="10" width="13.33203125" customWidth="1"/>
  </cols>
  <sheetData>
    <row r="1" spans="1:11" x14ac:dyDescent="0.3">
      <c r="A1" s="1" t="s">
        <v>0</v>
      </c>
      <c r="B1" s="1" t="s">
        <v>1</v>
      </c>
      <c r="C1" s="1" t="s">
        <v>2</v>
      </c>
      <c r="D1" s="1" t="s">
        <v>3</v>
      </c>
      <c r="E1" s="1" t="s">
        <v>4</v>
      </c>
      <c r="F1" s="1" t="s">
        <v>5</v>
      </c>
      <c r="G1" s="1" t="s">
        <v>6</v>
      </c>
      <c r="H1" s="1" t="s">
        <v>7</v>
      </c>
      <c r="I1" s="1" t="s">
        <v>8</v>
      </c>
      <c r="J1" s="1" t="s">
        <v>10</v>
      </c>
      <c r="K1" s="1" t="s">
        <v>9</v>
      </c>
    </row>
    <row r="2" spans="1:11" ht="43.2" x14ac:dyDescent="0.3">
      <c r="A2" s="5">
        <v>1</v>
      </c>
      <c r="B2" s="6" t="s">
        <v>16</v>
      </c>
      <c r="C2">
        <v>2</v>
      </c>
      <c r="D2">
        <v>4</v>
      </c>
      <c r="E2">
        <v>4</v>
      </c>
      <c r="F2">
        <v>5</v>
      </c>
      <c r="G2">
        <v>5</v>
      </c>
      <c r="H2">
        <v>0</v>
      </c>
      <c r="I2">
        <v>188</v>
      </c>
      <c r="J2">
        <v>0</v>
      </c>
      <c r="K2">
        <v>1</v>
      </c>
    </row>
    <row r="3" spans="1:11" x14ac:dyDescent="0.3">
      <c r="A3" s="5">
        <v>2</v>
      </c>
      <c r="B3" s="6" t="s">
        <v>389</v>
      </c>
      <c r="C3">
        <v>2</v>
      </c>
      <c r="D3">
        <v>5</v>
      </c>
      <c r="E3">
        <v>4</v>
      </c>
      <c r="F3">
        <v>5</v>
      </c>
      <c r="G3">
        <v>5</v>
      </c>
      <c r="H3">
        <v>0</v>
      </c>
      <c r="I3">
        <v>112</v>
      </c>
      <c r="J3">
        <v>0</v>
      </c>
      <c r="K3">
        <v>1</v>
      </c>
    </row>
    <row r="4" spans="1:11" x14ac:dyDescent="0.3">
      <c r="A4" s="5">
        <v>3</v>
      </c>
      <c r="B4" s="6" t="s">
        <v>18</v>
      </c>
      <c r="C4">
        <v>2</v>
      </c>
      <c r="D4">
        <v>5</v>
      </c>
      <c r="E4">
        <v>4</v>
      </c>
      <c r="F4">
        <v>5</v>
      </c>
      <c r="G4">
        <v>4</v>
      </c>
      <c r="H4">
        <v>0</v>
      </c>
      <c r="I4">
        <v>142</v>
      </c>
      <c r="J4">
        <v>0</v>
      </c>
      <c r="K4">
        <v>1</v>
      </c>
    </row>
    <row r="5" spans="1:11" x14ac:dyDescent="0.3">
      <c r="A5" s="5">
        <v>4</v>
      </c>
      <c r="B5" s="6" t="s">
        <v>390</v>
      </c>
      <c r="C5">
        <v>2</v>
      </c>
      <c r="D5">
        <v>5</v>
      </c>
      <c r="E5">
        <v>4</v>
      </c>
      <c r="F5">
        <v>5</v>
      </c>
      <c r="G5">
        <v>5</v>
      </c>
      <c r="H5">
        <v>0</v>
      </c>
      <c r="I5">
        <v>126</v>
      </c>
      <c r="J5">
        <v>0</v>
      </c>
      <c r="K5">
        <v>1</v>
      </c>
    </row>
    <row r="6" spans="1:11" ht="28.8" x14ac:dyDescent="0.3">
      <c r="A6" s="5">
        <v>5</v>
      </c>
      <c r="B6" s="6" t="s">
        <v>391</v>
      </c>
      <c r="C6">
        <v>2</v>
      </c>
      <c r="D6">
        <v>5</v>
      </c>
      <c r="E6">
        <v>4</v>
      </c>
      <c r="F6">
        <v>5</v>
      </c>
      <c r="G6">
        <v>5</v>
      </c>
      <c r="H6">
        <v>0</v>
      </c>
      <c r="I6">
        <v>53</v>
      </c>
      <c r="J6">
        <v>0</v>
      </c>
      <c r="K6">
        <v>1</v>
      </c>
    </row>
    <row r="7" spans="1:11" ht="43.2" x14ac:dyDescent="0.3">
      <c r="A7" s="5">
        <v>6</v>
      </c>
      <c r="B7" s="6" t="s">
        <v>22</v>
      </c>
      <c r="C7">
        <v>2</v>
      </c>
      <c r="D7">
        <v>5</v>
      </c>
      <c r="E7">
        <v>4</v>
      </c>
      <c r="F7">
        <v>5</v>
      </c>
      <c r="G7">
        <v>5</v>
      </c>
      <c r="H7">
        <v>0</v>
      </c>
      <c r="I7">
        <v>144</v>
      </c>
      <c r="J7">
        <v>0</v>
      </c>
      <c r="K7">
        <v>1</v>
      </c>
    </row>
    <row r="8" spans="1:11" ht="28.8" x14ac:dyDescent="0.3">
      <c r="A8" s="5">
        <v>7</v>
      </c>
      <c r="B8" s="6" t="s">
        <v>392</v>
      </c>
      <c r="C8">
        <v>2</v>
      </c>
      <c r="D8">
        <v>5</v>
      </c>
      <c r="E8">
        <v>4</v>
      </c>
      <c r="F8">
        <v>4</v>
      </c>
      <c r="G8">
        <v>5</v>
      </c>
      <c r="H8">
        <v>0</v>
      </c>
      <c r="I8">
        <v>56</v>
      </c>
      <c r="J8">
        <v>0</v>
      </c>
      <c r="K8">
        <v>1</v>
      </c>
    </row>
    <row r="9" spans="1:11" x14ac:dyDescent="0.3">
      <c r="A9" s="5">
        <v>8</v>
      </c>
      <c r="B9" s="6" t="s">
        <v>393</v>
      </c>
      <c r="C9">
        <v>2</v>
      </c>
      <c r="D9">
        <v>5</v>
      </c>
      <c r="E9">
        <v>5</v>
      </c>
      <c r="F9">
        <v>5</v>
      </c>
      <c r="G9">
        <v>5</v>
      </c>
      <c r="H9">
        <v>0</v>
      </c>
      <c r="I9">
        <v>124</v>
      </c>
      <c r="J9">
        <v>0</v>
      </c>
      <c r="K9">
        <v>1</v>
      </c>
    </row>
    <row r="10" spans="1:11" ht="28.8" x14ac:dyDescent="0.3">
      <c r="A10" s="5">
        <v>9</v>
      </c>
      <c r="B10" s="6" t="s">
        <v>26</v>
      </c>
      <c r="C10">
        <v>2</v>
      </c>
      <c r="D10">
        <v>5</v>
      </c>
      <c r="E10">
        <v>4</v>
      </c>
      <c r="F10">
        <v>5</v>
      </c>
      <c r="G10">
        <v>5</v>
      </c>
      <c r="H10">
        <v>0</v>
      </c>
      <c r="I10">
        <v>108</v>
      </c>
      <c r="J10">
        <v>0</v>
      </c>
      <c r="K10">
        <v>1</v>
      </c>
    </row>
    <row r="11" spans="1:11" ht="43.2" x14ac:dyDescent="0.3">
      <c r="A11" s="5">
        <v>10</v>
      </c>
      <c r="B11" s="6" t="s">
        <v>28</v>
      </c>
      <c r="C11">
        <v>2</v>
      </c>
      <c r="D11">
        <v>5</v>
      </c>
      <c r="E11">
        <v>4</v>
      </c>
      <c r="F11">
        <v>5</v>
      </c>
      <c r="G11">
        <v>5</v>
      </c>
      <c r="H11">
        <v>0</v>
      </c>
      <c r="I11">
        <v>117</v>
      </c>
      <c r="J11">
        <v>0</v>
      </c>
      <c r="K11">
        <v>1</v>
      </c>
    </row>
    <row r="12" spans="1:11" x14ac:dyDescent="0.3">
      <c r="A12" s="5">
        <v>11</v>
      </c>
      <c r="B12" s="6" t="s">
        <v>30</v>
      </c>
      <c r="C12">
        <v>2</v>
      </c>
      <c r="D12">
        <v>5</v>
      </c>
      <c r="E12">
        <v>5</v>
      </c>
      <c r="F12">
        <v>5</v>
      </c>
      <c r="G12">
        <v>5</v>
      </c>
      <c r="H12">
        <v>0</v>
      </c>
      <c r="I12">
        <v>87</v>
      </c>
      <c r="J12">
        <v>0</v>
      </c>
      <c r="K12">
        <v>1</v>
      </c>
    </row>
    <row r="13" spans="1:11" x14ac:dyDescent="0.3">
      <c r="A13" s="5">
        <v>12</v>
      </c>
      <c r="B13" s="6" t="s">
        <v>32</v>
      </c>
      <c r="C13">
        <v>2</v>
      </c>
      <c r="D13">
        <v>5</v>
      </c>
      <c r="E13">
        <v>5</v>
      </c>
      <c r="F13">
        <v>5</v>
      </c>
      <c r="G13">
        <v>5</v>
      </c>
      <c r="H13">
        <v>0</v>
      </c>
      <c r="I13">
        <v>84</v>
      </c>
      <c r="J13">
        <v>0</v>
      </c>
      <c r="K13">
        <v>1</v>
      </c>
    </row>
    <row r="14" spans="1:11" x14ac:dyDescent="0.3">
      <c r="A14" s="5">
        <v>13</v>
      </c>
      <c r="B14" s="6" t="s">
        <v>394</v>
      </c>
      <c r="C14">
        <v>2</v>
      </c>
      <c r="D14">
        <v>5</v>
      </c>
      <c r="E14">
        <v>4</v>
      </c>
      <c r="F14">
        <v>5</v>
      </c>
      <c r="G14">
        <v>5</v>
      </c>
      <c r="H14">
        <v>0</v>
      </c>
      <c r="I14">
        <v>56</v>
      </c>
      <c r="J14">
        <v>0</v>
      </c>
      <c r="K14">
        <v>1</v>
      </c>
    </row>
    <row r="15" spans="1:11" x14ac:dyDescent="0.3">
      <c r="A15" s="5">
        <v>14</v>
      </c>
      <c r="B15" s="6" t="s">
        <v>35</v>
      </c>
      <c r="C15">
        <v>2</v>
      </c>
      <c r="D15">
        <v>5</v>
      </c>
      <c r="E15">
        <v>5</v>
      </c>
      <c r="F15">
        <v>5</v>
      </c>
      <c r="G15">
        <v>5</v>
      </c>
      <c r="H15">
        <v>0</v>
      </c>
      <c r="I15">
        <v>95</v>
      </c>
      <c r="J15">
        <v>0</v>
      </c>
      <c r="K15">
        <v>1</v>
      </c>
    </row>
    <row r="16" spans="1:11" ht="28.8" x14ac:dyDescent="0.3">
      <c r="A16" s="5">
        <v>15</v>
      </c>
      <c r="B16" s="6" t="s">
        <v>37</v>
      </c>
      <c r="C16">
        <v>1</v>
      </c>
      <c r="D16">
        <v>5</v>
      </c>
      <c r="E16">
        <v>5</v>
      </c>
      <c r="F16">
        <v>5</v>
      </c>
      <c r="G16">
        <v>5</v>
      </c>
      <c r="H16">
        <v>1</v>
      </c>
      <c r="I16">
        <v>153</v>
      </c>
      <c r="J16">
        <v>0</v>
      </c>
      <c r="K16">
        <v>1</v>
      </c>
    </row>
    <row r="17" spans="1:11" x14ac:dyDescent="0.3">
      <c r="A17" s="5">
        <v>16</v>
      </c>
      <c r="B17" s="6" t="s">
        <v>39</v>
      </c>
      <c r="C17">
        <v>2</v>
      </c>
      <c r="D17">
        <v>5</v>
      </c>
      <c r="E17">
        <v>4</v>
      </c>
      <c r="F17">
        <v>5</v>
      </c>
      <c r="G17">
        <v>5</v>
      </c>
      <c r="H17">
        <v>0</v>
      </c>
      <c r="I17">
        <v>166</v>
      </c>
      <c r="J17">
        <v>0</v>
      </c>
      <c r="K17">
        <v>1</v>
      </c>
    </row>
    <row r="18" spans="1:11" x14ac:dyDescent="0.3">
      <c r="A18" s="5">
        <v>17</v>
      </c>
      <c r="B18" s="6" t="s">
        <v>45</v>
      </c>
      <c r="C18">
        <v>2</v>
      </c>
      <c r="D18">
        <v>5</v>
      </c>
      <c r="E18">
        <v>4</v>
      </c>
      <c r="F18">
        <v>5</v>
      </c>
      <c r="G18">
        <v>5</v>
      </c>
      <c r="H18">
        <v>0</v>
      </c>
      <c r="I18">
        <v>100</v>
      </c>
      <c r="J18">
        <v>0</v>
      </c>
      <c r="K18">
        <v>1</v>
      </c>
    </row>
    <row r="19" spans="1:11" x14ac:dyDescent="0.3">
      <c r="A19" s="5">
        <v>18</v>
      </c>
      <c r="B19" s="6" t="s">
        <v>395</v>
      </c>
      <c r="C19">
        <v>2</v>
      </c>
      <c r="D19">
        <v>5</v>
      </c>
      <c r="E19">
        <v>5</v>
      </c>
      <c r="F19">
        <v>5</v>
      </c>
      <c r="G19">
        <v>5</v>
      </c>
      <c r="H19">
        <v>0</v>
      </c>
      <c r="I19">
        <v>78</v>
      </c>
      <c r="J19">
        <v>0</v>
      </c>
      <c r="K19">
        <v>1</v>
      </c>
    </row>
    <row r="20" spans="1:11" x14ac:dyDescent="0.3">
      <c r="A20" s="5">
        <v>19</v>
      </c>
      <c r="B20" s="6" t="s">
        <v>396</v>
      </c>
      <c r="C20">
        <v>2</v>
      </c>
      <c r="D20">
        <v>5</v>
      </c>
      <c r="E20">
        <v>4</v>
      </c>
      <c r="F20">
        <v>5</v>
      </c>
      <c r="G20">
        <v>5</v>
      </c>
      <c r="H20">
        <v>0</v>
      </c>
      <c r="I20">
        <v>156</v>
      </c>
      <c r="J20">
        <v>0</v>
      </c>
      <c r="K20">
        <v>1</v>
      </c>
    </row>
    <row r="21" spans="1:11" ht="28.8" x14ac:dyDescent="0.3">
      <c r="A21" s="5">
        <v>20</v>
      </c>
      <c r="B21" s="6" t="s">
        <v>277</v>
      </c>
      <c r="C21">
        <v>2</v>
      </c>
      <c r="D21">
        <v>5</v>
      </c>
      <c r="E21">
        <v>4</v>
      </c>
      <c r="F21">
        <v>5</v>
      </c>
      <c r="G21">
        <v>5</v>
      </c>
      <c r="H21">
        <v>0</v>
      </c>
      <c r="I21">
        <v>65</v>
      </c>
      <c r="J21">
        <v>0</v>
      </c>
      <c r="K21">
        <v>1</v>
      </c>
    </row>
    <row r="22" spans="1:11" x14ac:dyDescent="0.3">
      <c r="A22" s="5">
        <v>21</v>
      </c>
      <c r="B22" s="6" t="s">
        <v>61</v>
      </c>
      <c r="C22">
        <v>2</v>
      </c>
      <c r="D22">
        <v>5</v>
      </c>
      <c r="E22">
        <v>4</v>
      </c>
      <c r="F22">
        <v>5</v>
      </c>
      <c r="G22">
        <v>5</v>
      </c>
      <c r="H22">
        <v>0</v>
      </c>
      <c r="I22">
        <v>66</v>
      </c>
      <c r="J22">
        <v>0</v>
      </c>
      <c r="K22">
        <v>1</v>
      </c>
    </row>
    <row r="23" spans="1:11" x14ac:dyDescent="0.3">
      <c r="A23" s="5">
        <v>22</v>
      </c>
      <c r="B23" s="6" t="s">
        <v>397</v>
      </c>
      <c r="C23">
        <v>2</v>
      </c>
      <c r="D23">
        <v>5</v>
      </c>
      <c r="E23">
        <v>4</v>
      </c>
      <c r="F23">
        <v>5</v>
      </c>
      <c r="G23">
        <v>5</v>
      </c>
      <c r="H23">
        <v>0</v>
      </c>
      <c r="I23">
        <v>75</v>
      </c>
      <c r="J23">
        <v>0</v>
      </c>
      <c r="K23">
        <v>1</v>
      </c>
    </row>
    <row r="24" spans="1:11" x14ac:dyDescent="0.3">
      <c r="A24" s="5">
        <v>23</v>
      </c>
      <c r="B24" s="6" t="s">
        <v>398</v>
      </c>
      <c r="C24">
        <v>2</v>
      </c>
      <c r="D24">
        <v>5</v>
      </c>
      <c r="E24">
        <v>4</v>
      </c>
      <c r="F24">
        <v>5</v>
      </c>
      <c r="G24">
        <v>5</v>
      </c>
      <c r="H24">
        <v>0</v>
      </c>
      <c r="I24">
        <v>68</v>
      </c>
      <c r="J24">
        <v>0</v>
      </c>
      <c r="K24">
        <v>1</v>
      </c>
    </row>
    <row r="25" spans="1:11" x14ac:dyDescent="0.3">
      <c r="A25" s="5">
        <v>24</v>
      </c>
      <c r="B25" s="6" t="s">
        <v>65</v>
      </c>
      <c r="C25">
        <v>2</v>
      </c>
      <c r="D25">
        <v>5</v>
      </c>
      <c r="E25">
        <v>4</v>
      </c>
      <c r="F25">
        <v>5</v>
      </c>
      <c r="G25">
        <v>5</v>
      </c>
      <c r="H25">
        <v>0</v>
      </c>
      <c r="I25">
        <v>177</v>
      </c>
      <c r="J25">
        <v>0</v>
      </c>
      <c r="K25">
        <v>1</v>
      </c>
    </row>
    <row r="26" spans="1:11" x14ac:dyDescent="0.3">
      <c r="A26" s="5">
        <v>25</v>
      </c>
      <c r="B26" s="6" t="s">
        <v>399</v>
      </c>
      <c r="C26">
        <v>2</v>
      </c>
      <c r="D26">
        <v>5</v>
      </c>
      <c r="E26">
        <v>4</v>
      </c>
      <c r="F26">
        <v>5</v>
      </c>
      <c r="G26">
        <v>5</v>
      </c>
      <c r="H26">
        <v>0</v>
      </c>
      <c r="I26">
        <v>68</v>
      </c>
      <c r="J26">
        <v>0</v>
      </c>
      <c r="K26">
        <v>1</v>
      </c>
    </row>
    <row r="27" spans="1:11" x14ac:dyDescent="0.3">
      <c r="A27" s="5">
        <v>26</v>
      </c>
      <c r="B27" s="6" t="s">
        <v>69</v>
      </c>
      <c r="C27">
        <v>2</v>
      </c>
      <c r="D27">
        <v>5</v>
      </c>
      <c r="E27">
        <v>5</v>
      </c>
      <c r="F27">
        <v>5</v>
      </c>
      <c r="G27">
        <v>5</v>
      </c>
      <c r="H27">
        <v>0</v>
      </c>
      <c r="I27">
        <v>150</v>
      </c>
      <c r="J27">
        <v>0</v>
      </c>
      <c r="K27">
        <v>1</v>
      </c>
    </row>
    <row r="28" spans="1:11" x14ac:dyDescent="0.3">
      <c r="A28" s="5">
        <v>27</v>
      </c>
      <c r="B28" s="6" t="s">
        <v>71</v>
      </c>
      <c r="C28">
        <v>2</v>
      </c>
      <c r="D28">
        <v>5</v>
      </c>
      <c r="E28">
        <v>5</v>
      </c>
      <c r="F28">
        <v>5</v>
      </c>
      <c r="G28">
        <v>4</v>
      </c>
      <c r="H28">
        <v>0</v>
      </c>
      <c r="I28">
        <v>280</v>
      </c>
      <c r="J28">
        <v>0</v>
      </c>
      <c r="K28">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E0A29-0B5A-4A10-ADD9-DB8B47C43F4D}">
  <sheetPr codeName="Sheet2"/>
  <dimension ref="A1:K28"/>
  <sheetViews>
    <sheetView topLeftCell="C1" zoomScale="90" zoomScaleNormal="90" workbookViewId="0">
      <selection activeCell="K22" sqref="K22"/>
    </sheetView>
  </sheetViews>
  <sheetFormatPr defaultRowHeight="14.4" x14ac:dyDescent="0.3"/>
  <cols>
    <col min="1" max="1" width="12.44140625" customWidth="1"/>
    <col min="2" max="2" width="105.44140625" customWidth="1"/>
    <col min="3" max="3" width="16.6640625" customWidth="1"/>
    <col min="4" max="4" width="15.5546875" customWidth="1"/>
    <col min="5" max="5" width="18.88671875" customWidth="1"/>
    <col min="6" max="6" width="10.6640625" customWidth="1"/>
    <col min="7" max="7" width="16.109375" customWidth="1"/>
    <col min="9" max="9" width="24.44140625" customWidth="1"/>
    <col min="10" max="10" width="13.33203125" customWidth="1"/>
  </cols>
  <sheetData>
    <row r="1" spans="1:11" x14ac:dyDescent="0.3">
      <c r="A1" s="1" t="s">
        <v>0</v>
      </c>
      <c r="B1" s="1" t="s">
        <v>1</v>
      </c>
      <c r="C1" s="1" t="s">
        <v>2</v>
      </c>
      <c r="D1" s="1" t="s">
        <v>3</v>
      </c>
      <c r="E1" s="1" t="s">
        <v>4</v>
      </c>
      <c r="F1" s="1" t="s">
        <v>5</v>
      </c>
      <c r="G1" s="1" t="s">
        <v>6</v>
      </c>
      <c r="H1" s="1" t="s">
        <v>7</v>
      </c>
      <c r="I1" s="1" t="s">
        <v>8</v>
      </c>
      <c r="J1" s="1" t="s">
        <v>10</v>
      </c>
      <c r="K1" s="1" t="s">
        <v>9</v>
      </c>
    </row>
    <row r="2" spans="1:11" ht="43.2" x14ac:dyDescent="0.3">
      <c r="A2" s="5">
        <v>1</v>
      </c>
      <c r="B2" s="6" t="s">
        <v>16</v>
      </c>
      <c r="C2">
        <v>2</v>
      </c>
      <c r="D2">
        <v>4</v>
      </c>
      <c r="E2">
        <v>4</v>
      </c>
      <c r="F2">
        <v>4</v>
      </c>
      <c r="G2">
        <v>3</v>
      </c>
      <c r="H2">
        <v>0</v>
      </c>
      <c r="I2">
        <v>656</v>
      </c>
      <c r="J2">
        <v>0</v>
      </c>
      <c r="K2">
        <v>1</v>
      </c>
    </row>
    <row r="3" spans="1:11" x14ac:dyDescent="0.3">
      <c r="A3" s="5">
        <v>2</v>
      </c>
      <c r="B3" s="6" t="s">
        <v>389</v>
      </c>
      <c r="C3">
        <v>2</v>
      </c>
      <c r="D3">
        <v>5</v>
      </c>
      <c r="E3">
        <v>4</v>
      </c>
      <c r="F3">
        <v>5</v>
      </c>
      <c r="G3">
        <v>3</v>
      </c>
      <c r="H3">
        <v>0</v>
      </c>
      <c r="I3">
        <v>576</v>
      </c>
      <c r="J3">
        <v>0</v>
      </c>
      <c r="K3">
        <v>1</v>
      </c>
    </row>
    <row r="4" spans="1:11" x14ac:dyDescent="0.3">
      <c r="A4" s="5">
        <v>3</v>
      </c>
      <c r="B4" s="6" t="s">
        <v>18</v>
      </c>
      <c r="C4">
        <v>2</v>
      </c>
      <c r="D4">
        <v>5</v>
      </c>
      <c r="E4">
        <v>4</v>
      </c>
      <c r="F4">
        <v>5</v>
      </c>
      <c r="G4">
        <v>3</v>
      </c>
      <c r="H4">
        <v>0</v>
      </c>
      <c r="I4">
        <v>373</v>
      </c>
      <c r="J4">
        <v>0</v>
      </c>
      <c r="K4">
        <v>1</v>
      </c>
    </row>
    <row r="5" spans="1:11" x14ac:dyDescent="0.3">
      <c r="A5" s="5">
        <v>4</v>
      </c>
      <c r="B5" s="6" t="s">
        <v>390</v>
      </c>
      <c r="C5">
        <v>2</v>
      </c>
      <c r="D5">
        <v>5</v>
      </c>
      <c r="E5">
        <v>4</v>
      </c>
      <c r="F5">
        <v>5</v>
      </c>
      <c r="G5">
        <v>3</v>
      </c>
      <c r="H5">
        <v>0</v>
      </c>
      <c r="I5">
        <v>274</v>
      </c>
      <c r="J5">
        <v>0</v>
      </c>
      <c r="K5">
        <v>1</v>
      </c>
    </row>
    <row r="6" spans="1:11" ht="28.8" x14ac:dyDescent="0.3">
      <c r="A6" s="5">
        <v>5</v>
      </c>
      <c r="B6" s="6" t="s">
        <v>391</v>
      </c>
      <c r="C6">
        <v>2</v>
      </c>
      <c r="D6">
        <v>5</v>
      </c>
      <c r="E6">
        <v>5</v>
      </c>
      <c r="F6">
        <v>5</v>
      </c>
      <c r="G6">
        <v>4</v>
      </c>
      <c r="H6">
        <v>0</v>
      </c>
      <c r="I6">
        <v>144</v>
      </c>
      <c r="J6">
        <v>0</v>
      </c>
      <c r="K6">
        <v>1</v>
      </c>
    </row>
    <row r="7" spans="1:11" ht="43.2" x14ac:dyDescent="0.3">
      <c r="A7" s="5">
        <v>6</v>
      </c>
      <c r="B7" s="6" t="s">
        <v>22</v>
      </c>
      <c r="C7">
        <v>2</v>
      </c>
      <c r="D7">
        <v>5</v>
      </c>
      <c r="E7">
        <v>5</v>
      </c>
      <c r="F7">
        <v>4</v>
      </c>
      <c r="G7">
        <v>2</v>
      </c>
      <c r="H7">
        <v>0</v>
      </c>
      <c r="I7">
        <v>619</v>
      </c>
      <c r="J7">
        <v>0</v>
      </c>
      <c r="K7">
        <v>1</v>
      </c>
    </row>
    <row r="8" spans="1:11" ht="28.8" x14ac:dyDescent="0.3">
      <c r="A8" s="5">
        <v>7</v>
      </c>
      <c r="B8" s="6" t="s">
        <v>392</v>
      </c>
      <c r="C8">
        <v>1</v>
      </c>
      <c r="D8">
        <v>5</v>
      </c>
      <c r="E8">
        <v>5</v>
      </c>
      <c r="F8">
        <v>4</v>
      </c>
      <c r="G8">
        <v>3</v>
      </c>
      <c r="H8">
        <v>0</v>
      </c>
      <c r="I8">
        <v>273</v>
      </c>
      <c r="J8">
        <v>0</v>
      </c>
      <c r="K8">
        <v>1</v>
      </c>
    </row>
    <row r="9" spans="1:11" x14ac:dyDescent="0.3">
      <c r="A9" s="5">
        <v>8</v>
      </c>
      <c r="B9" s="6" t="s">
        <v>393</v>
      </c>
      <c r="C9">
        <v>1</v>
      </c>
      <c r="D9">
        <v>5</v>
      </c>
      <c r="E9">
        <v>5</v>
      </c>
      <c r="F9">
        <v>4</v>
      </c>
      <c r="G9">
        <v>2</v>
      </c>
      <c r="H9">
        <v>1</v>
      </c>
      <c r="I9">
        <v>341</v>
      </c>
      <c r="J9">
        <v>0</v>
      </c>
      <c r="K9">
        <v>1</v>
      </c>
    </row>
    <row r="10" spans="1:11" ht="28.8" x14ac:dyDescent="0.3">
      <c r="A10" s="5">
        <v>9</v>
      </c>
      <c r="B10" s="6" t="s">
        <v>26</v>
      </c>
      <c r="C10">
        <v>1</v>
      </c>
      <c r="D10">
        <v>5</v>
      </c>
      <c r="E10">
        <v>5</v>
      </c>
      <c r="F10">
        <v>3</v>
      </c>
      <c r="G10">
        <v>1</v>
      </c>
      <c r="H10">
        <v>1</v>
      </c>
      <c r="I10">
        <v>697</v>
      </c>
      <c r="J10">
        <v>0</v>
      </c>
      <c r="K10">
        <v>1</v>
      </c>
    </row>
    <row r="11" spans="1:11" ht="43.2" x14ac:dyDescent="0.3">
      <c r="A11" s="5">
        <v>10</v>
      </c>
      <c r="B11" s="6" t="s">
        <v>28</v>
      </c>
      <c r="C11">
        <v>1</v>
      </c>
      <c r="D11">
        <v>5</v>
      </c>
      <c r="E11">
        <v>5</v>
      </c>
      <c r="F11">
        <v>3</v>
      </c>
      <c r="G11">
        <v>2</v>
      </c>
      <c r="H11">
        <v>1</v>
      </c>
      <c r="I11">
        <v>582</v>
      </c>
      <c r="J11">
        <v>0</v>
      </c>
      <c r="K11">
        <v>1</v>
      </c>
    </row>
    <row r="12" spans="1:11" x14ac:dyDescent="0.3">
      <c r="A12" s="5">
        <v>11</v>
      </c>
      <c r="B12" s="6" t="s">
        <v>30</v>
      </c>
      <c r="C12">
        <v>1</v>
      </c>
      <c r="D12">
        <v>5</v>
      </c>
      <c r="E12">
        <v>5</v>
      </c>
      <c r="F12">
        <v>4</v>
      </c>
      <c r="G12">
        <v>3</v>
      </c>
      <c r="H12">
        <v>1</v>
      </c>
      <c r="I12">
        <v>394</v>
      </c>
      <c r="J12">
        <v>0</v>
      </c>
      <c r="K12">
        <v>1</v>
      </c>
    </row>
    <row r="13" spans="1:11" x14ac:dyDescent="0.3">
      <c r="A13" s="5">
        <v>12</v>
      </c>
      <c r="B13" s="6" t="s">
        <v>32</v>
      </c>
      <c r="C13">
        <v>2</v>
      </c>
      <c r="D13">
        <v>5</v>
      </c>
      <c r="E13">
        <v>4</v>
      </c>
      <c r="F13">
        <v>3</v>
      </c>
      <c r="G13">
        <v>3</v>
      </c>
      <c r="H13">
        <v>1</v>
      </c>
      <c r="I13">
        <v>298</v>
      </c>
      <c r="J13">
        <v>0</v>
      </c>
      <c r="K13">
        <v>1</v>
      </c>
    </row>
    <row r="14" spans="1:11" x14ac:dyDescent="0.3">
      <c r="A14" s="5">
        <v>13</v>
      </c>
      <c r="B14" s="6" t="s">
        <v>394</v>
      </c>
      <c r="C14">
        <v>2</v>
      </c>
      <c r="D14">
        <v>5</v>
      </c>
      <c r="E14">
        <v>4</v>
      </c>
      <c r="F14">
        <v>5</v>
      </c>
      <c r="G14">
        <v>4</v>
      </c>
      <c r="H14">
        <v>0</v>
      </c>
      <c r="I14">
        <v>150</v>
      </c>
      <c r="J14">
        <v>0</v>
      </c>
      <c r="K14">
        <v>1</v>
      </c>
    </row>
    <row r="15" spans="1:11" x14ac:dyDescent="0.3">
      <c r="A15" s="5">
        <v>14</v>
      </c>
      <c r="B15" s="6" t="s">
        <v>35</v>
      </c>
      <c r="C15">
        <v>1</v>
      </c>
      <c r="D15">
        <v>5</v>
      </c>
      <c r="E15">
        <v>5</v>
      </c>
      <c r="F15">
        <v>3</v>
      </c>
      <c r="G15">
        <v>2</v>
      </c>
      <c r="H15">
        <v>1</v>
      </c>
      <c r="I15">
        <v>402</v>
      </c>
      <c r="J15">
        <v>0</v>
      </c>
      <c r="K15">
        <v>1</v>
      </c>
    </row>
    <row r="16" spans="1:11" ht="28.8" x14ac:dyDescent="0.3">
      <c r="A16" s="5">
        <v>15</v>
      </c>
      <c r="B16" s="6" t="s">
        <v>37</v>
      </c>
      <c r="C16">
        <v>1</v>
      </c>
      <c r="D16">
        <v>5</v>
      </c>
      <c r="E16">
        <v>5</v>
      </c>
      <c r="F16">
        <v>4</v>
      </c>
      <c r="G16">
        <v>3</v>
      </c>
      <c r="H16">
        <v>1</v>
      </c>
      <c r="I16">
        <v>604</v>
      </c>
      <c r="J16">
        <v>0</v>
      </c>
      <c r="K16">
        <v>1</v>
      </c>
    </row>
    <row r="17" spans="1:11" x14ac:dyDescent="0.3">
      <c r="A17" s="5">
        <v>16</v>
      </c>
      <c r="B17" s="6" t="s">
        <v>39</v>
      </c>
      <c r="C17">
        <v>2</v>
      </c>
      <c r="D17">
        <v>5</v>
      </c>
      <c r="E17">
        <v>5</v>
      </c>
      <c r="F17">
        <v>3</v>
      </c>
      <c r="G17">
        <v>2</v>
      </c>
      <c r="H17">
        <v>0</v>
      </c>
      <c r="I17">
        <v>399</v>
      </c>
      <c r="J17">
        <v>0</v>
      </c>
      <c r="K17">
        <v>1</v>
      </c>
    </row>
    <row r="18" spans="1:11" x14ac:dyDescent="0.3">
      <c r="A18" s="5">
        <v>17</v>
      </c>
      <c r="B18" s="6" t="s">
        <v>45</v>
      </c>
      <c r="C18">
        <v>2</v>
      </c>
      <c r="D18">
        <v>5</v>
      </c>
      <c r="E18">
        <v>5</v>
      </c>
      <c r="F18">
        <v>3</v>
      </c>
      <c r="G18">
        <v>3</v>
      </c>
      <c r="H18">
        <v>0</v>
      </c>
      <c r="I18">
        <v>342</v>
      </c>
      <c r="J18">
        <v>0</v>
      </c>
      <c r="K18">
        <v>1</v>
      </c>
    </row>
    <row r="19" spans="1:11" x14ac:dyDescent="0.3">
      <c r="A19" s="5">
        <v>18</v>
      </c>
      <c r="B19" s="6" t="s">
        <v>395</v>
      </c>
      <c r="C19">
        <v>2</v>
      </c>
      <c r="D19">
        <v>5</v>
      </c>
      <c r="E19">
        <v>5</v>
      </c>
      <c r="F19">
        <v>4</v>
      </c>
      <c r="G19">
        <v>4</v>
      </c>
      <c r="H19">
        <v>0</v>
      </c>
      <c r="I19">
        <v>181</v>
      </c>
      <c r="J19">
        <v>0</v>
      </c>
      <c r="K19">
        <v>1</v>
      </c>
    </row>
    <row r="20" spans="1:11" x14ac:dyDescent="0.3">
      <c r="A20" s="5">
        <v>19</v>
      </c>
      <c r="B20" s="6" t="s">
        <v>396</v>
      </c>
      <c r="C20">
        <v>2</v>
      </c>
      <c r="D20">
        <v>5</v>
      </c>
      <c r="E20">
        <v>5</v>
      </c>
      <c r="F20">
        <v>3</v>
      </c>
      <c r="G20">
        <v>2</v>
      </c>
      <c r="H20">
        <v>0</v>
      </c>
      <c r="I20">
        <v>614</v>
      </c>
      <c r="J20">
        <v>0</v>
      </c>
      <c r="K20">
        <v>1</v>
      </c>
    </row>
    <row r="21" spans="1:11" ht="28.8" x14ac:dyDescent="0.3">
      <c r="A21" s="5">
        <v>20</v>
      </c>
      <c r="B21" s="6" t="s">
        <v>277</v>
      </c>
      <c r="C21">
        <v>1</v>
      </c>
      <c r="D21">
        <v>5</v>
      </c>
      <c r="E21">
        <v>5</v>
      </c>
      <c r="F21">
        <v>4</v>
      </c>
      <c r="G21">
        <v>3</v>
      </c>
      <c r="H21">
        <v>1</v>
      </c>
      <c r="I21">
        <v>599</v>
      </c>
      <c r="J21">
        <v>0</v>
      </c>
      <c r="K21">
        <v>1</v>
      </c>
    </row>
    <row r="22" spans="1:11" x14ac:dyDescent="0.3">
      <c r="A22" s="5">
        <v>21</v>
      </c>
      <c r="B22" s="6" t="s">
        <v>61</v>
      </c>
      <c r="C22">
        <v>1</v>
      </c>
      <c r="D22">
        <v>5</v>
      </c>
      <c r="E22">
        <v>5</v>
      </c>
      <c r="F22">
        <v>4</v>
      </c>
      <c r="G22">
        <v>3</v>
      </c>
      <c r="H22">
        <v>1</v>
      </c>
      <c r="I22">
        <v>530</v>
      </c>
      <c r="J22">
        <v>0</v>
      </c>
      <c r="K22">
        <v>1</v>
      </c>
    </row>
    <row r="23" spans="1:11" x14ac:dyDescent="0.3">
      <c r="A23" s="5">
        <v>22</v>
      </c>
      <c r="B23" s="6" t="s">
        <v>397</v>
      </c>
      <c r="C23">
        <v>1</v>
      </c>
      <c r="D23">
        <v>5</v>
      </c>
      <c r="E23">
        <v>5</v>
      </c>
      <c r="F23">
        <v>3</v>
      </c>
      <c r="G23">
        <v>3</v>
      </c>
      <c r="H23">
        <v>1</v>
      </c>
      <c r="I23">
        <v>337</v>
      </c>
      <c r="J23">
        <v>0</v>
      </c>
      <c r="K23">
        <v>1</v>
      </c>
    </row>
    <row r="24" spans="1:11" x14ac:dyDescent="0.3">
      <c r="A24" s="5">
        <v>23</v>
      </c>
      <c r="B24" s="6" t="s">
        <v>398</v>
      </c>
      <c r="C24">
        <v>1</v>
      </c>
      <c r="D24">
        <v>5</v>
      </c>
      <c r="E24">
        <v>5</v>
      </c>
      <c r="F24">
        <v>2</v>
      </c>
      <c r="G24">
        <v>3</v>
      </c>
      <c r="H24">
        <v>1</v>
      </c>
      <c r="I24">
        <v>281</v>
      </c>
      <c r="J24">
        <v>0</v>
      </c>
      <c r="K24">
        <v>1</v>
      </c>
    </row>
    <row r="25" spans="1:11" x14ac:dyDescent="0.3">
      <c r="A25" s="5">
        <v>24</v>
      </c>
      <c r="B25" s="6" t="s">
        <v>65</v>
      </c>
      <c r="C25">
        <v>1</v>
      </c>
      <c r="D25">
        <v>5</v>
      </c>
      <c r="E25">
        <v>5</v>
      </c>
      <c r="F25">
        <v>2</v>
      </c>
      <c r="G25">
        <v>2</v>
      </c>
      <c r="H25">
        <v>1</v>
      </c>
      <c r="I25">
        <v>625</v>
      </c>
      <c r="J25">
        <v>0</v>
      </c>
      <c r="K25">
        <v>1</v>
      </c>
    </row>
    <row r="26" spans="1:11" x14ac:dyDescent="0.3">
      <c r="A26" s="5">
        <v>25</v>
      </c>
      <c r="B26" s="6" t="s">
        <v>399</v>
      </c>
      <c r="C26">
        <v>1</v>
      </c>
      <c r="D26">
        <v>5</v>
      </c>
      <c r="E26">
        <v>5</v>
      </c>
      <c r="F26">
        <v>2</v>
      </c>
      <c r="G26">
        <v>3</v>
      </c>
      <c r="H26">
        <v>1</v>
      </c>
      <c r="I26">
        <v>259</v>
      </c>
      <c r="J26">
        <v>0</v>
      </c>
      <c r="K26">
        <v>1</v>
      </c>
    </row>
    <row r="27" spans="1:11" x14ac:dyDescent="0.3">
      <c r="A27" s="5">
        <v>26</v>
      </c>
      <c r="B27" s="6" t="s">
        <v>69</v>
      </c>
      <c r="C27">
        <v>1</v>
      </c>
      <c r="D27">
        <v>5</v>
      </c>
      <c r="E27">
        <v>5</v>
      </c>
      <c r="F27">
        <v>1</v>
      </c>
      <c r="G27">
        <v>2</v>
      </c>
      <c r="H27">
        <v>1</v>
      </c>
      <c r="I27">
        <v>703</v>
      </c>
      <c r="J27">
        <v>0</v>
      </c>
      <c r="K27">
        <v>1</v>
      </c>
    </row>
    <row r="28" spans="1:11" x14ac:dyDescent="0.3">
      <c r="A28" s="5">
        <v>27</v>
      </c>
      <c r="B28" s="6" t="s">
        <v>71</v>
      </c>
      <c r="C28">
        <v>1</v>
      </c>
      <c r="D28">
        <v>5</v>
      </c>
      <c r="E28">
        <v>5</v>
      </c>
      <c r="F28">
        <v>1</v>
      </c>
      <c r="G28">
        <v>1</v>
      </c>
      <c r="H28">
        <v>1</v>
      </c>
      <c r="I28">
        <v>850</v>
      </c>
      <c r="J28">
        <v>0</v>
      </c>
      <c r="K28">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7471A-79D3-4910-B8B7-60B0C39700C1}">
  <sheetPr codeName="Sheet3"/>
  <dimension ref="A1:K28"/>
  <sheetViews>
    <sheetView topLeftCell="C1" zoomScale="90" zoomScaleNormal="90" workbookViewId="0">
      <selection activeCell="N13" sqref="N13"/>
    </sheetView>
  </sheetViews>
  <sheetFormatPr defaultRowHeight="14.4" x14ac:dyDescent="0.3"/>
  <cols>
    <col min="1" max="1" width="12.44140625" customWidth="1"/>
    <col min="2" max="2" width="105.44140625" customWidth="1"/>
    <col min="3" max="3" width="16.6640625" customWidth="1"/>
    <col min="4" max="4" width="15.5546875" customWidth="1"/>
    <col min="5" max="5" width="18.88671875" customWidth="1"/>
    <col min="6" max="6" width="10.6640625" customWidth="1"/>
    <col min="7" max="7" width="16.109375" customWidth="1"/>
    <col min="9" max="9" width="24.44140625" customWidth="1"/>
    <col min="10" max="10" width="13.33203125" customWidth="1"/>
  </cols>
  <sheetData>
    <row r="1" spans="1:11" x14ac:dyDescent="0.3">
      <c r="A1" s="1" t="s">
        <v>0</v>
      </c>
      <c r="B1" s="1" t="s">
        <v>1</v>
      </c>
      <c r="C1" s="1" t="s">
        <v>2</v>
      </c>
      <c r="D1" s="1" t="s">
        <v>3</v>
      </c>
      <c r="E1" s="1" t="s">
        <v>4</v>
      </c>
      <c r="F1" s="1" t="s">
        <v>5</v>
      </c>
      <c r="G1" s="1" t="s">
        <v>6</v>
      </c>
      <c r="H1" s="1" t="s">
        <v>7</v>
      </c>
      <c r="I1" s="1" t="s">
        <v>8</v>
      </c>
      <c r="J1" s="1" t="s">
        <v>10</v>
      </c>
      <c r="K1" s="1" t="s">
        <v>9</v>
      </c>
    </row>
    <row r="2" spans="1:11" ht="43.2" x14ac:dyDescent="0.3">
      <c r="A2" s="5">
        <v>1</v>
      </c>
      <c r="B2" s="6" t="s">
        <v>16</v>
      </c>
      <c r="C2">
        <v>2</v>
      </c>
      <c r="D2">
        <v>4</v>
      </c>
      <c r="E2">
        <v>4</v>
      </c>
      <c r="F2">
        <v>5</v>
      </c>
      <c r="G2">
        <v>5</v>
      </c>
      <c r="H2">
        <v>0</v>
      </c>
      <c r="I2">
        <v>27.3</v>
      </c>
      <c r="J2">
        <v>0</v>
      </c>
      <c r="K2">
        <v>2</v>
      </c>
    </row>
    <row r="3" spans="1:11" x14ac:dyDescent="0.3">
      <c r="A3" s="5">
        <v>2</v>
      </c>
      <c r="B3" s="6" t="s">
        <v>389</v>
      </c>
      <c r="C3">
        <v>2</v>
      </c>
      <c r="D3">
        <v>5</v>
      </c>
      <c r="E3">
        <v>4</v>
      </c>
      <c r="F3">
        <v>5</v>
      </c>
      <c r="G3">
        <v>5</v>
      </c>
      <c r="H3">
        <v>0</v>
      </c>
      <c r="I3">
        <v>46.800000000000004</v>
      </c>
      <c r="J3">
        <v>0</v>
      </c>
      <c r="K3">
        <v>2</v>
      </c>
    </row>
    <row r="4" spans="1:11" x14ac:dyDescent="0.3">
      <c r="A4" s="5">
        <v>3</v>
      </c>
      <c r="B4" s="6" t="s">
        <v>18</v>
      </c>
      <c r="C4">
        <v>2</v>
      </c>
      <c r="D4">
        <v>5</v>
      </c>
      <c r="E4">
        <v>4</v>
      </c>
      <c r="F4">
        <v>5</v>
      </c>
      <c r="G4">
        <v>5</v>
      </c>
      <c r="H4">
        <v>0</v>
      </c>
      <c r="I4">
        <v>20.8</v>
      </c>
      <c r="J4">
        <v>0</v>
      </c>
      <c r="K4">
        <v>2</v>
      </c>
    </row>
    <row r="5" spans="1:11" x14ac:dyDescent="0.3">
      <c r="A5" s="5">
        <v>4</v>
      </c>
      <c r="B5" s="6" t="s">
        <v>390</v>
      </c>
      <c r="C5">
        <v>2</v>
      </c>
      <c r="D5">
        <v>5</v>
      </c>
      <c r="E5">
        <v>4</v>
      </c>
      <c r="F5">
        <v>5</v>
      </c>
      <c r="G5">
        <v>5</v>
      </c>
      <c r="H5">
        <v>0</v>
      </c>
      <c r="I5">
        <v>28.6</v>
      </c>
      <c r="J5">
        <v>0</v>
      </c>
      <c r="K5">
        <v>2</v>
      </c>
    </row>
    <row r="6" spans="1:11" ht="28.8" x14ac:dyDescent="0.3">
      <c r="A6" s="5">
        <v>5</v>
      </c>
      <c r="B6" s="6" t="s">
        <v>391</v>
      </c>
      <c r="C6">
        <v>2</v>
      </c>
      <c r="D6">
        <v>5</v>
      </c>
      <c r="E6">
        <v>5</v>
      </c>
      <c r="F6">
        <v>5</v>
      </c>
      <c r="G6">
        <v>5</v>
      </c>
      <c r="H6">
        <v>0</v>
      </c>
      <c r="I6">
        <v>23.400000000000002</v>
      </c>
      <c r="J6">
        <v>0</v>
      </c>
      <c r="K6">
        <v>2</v>
      </c>
    </row>
    <row r="7" spans="1:11" ht="43.2" x14ac:dyDescent="0.3">
      <c r="A7" s="5">
        <v>6</v>
      </c>
      <c r="B7" s="6" t="s">
        <v>22</v>
      </c>
      <c r="C7">
        <v>2</v>
      </c>
      <c r="D7">
        <v>5</v>
      </c>
      <c r="E7">
        <v>4</v>
      </c>
      <c r="F7">
        <v>5</v>
      </c>
      <c r="G7">
        <v>5</v>
      </c>
      <c r="H7">
        <v>0</v>
      </c>
      <c r="I7">
        <v>24.7</v>
      </c>
      <c r="J7">
        <v>0</v>
      </c>
      <c r="K7">
        <v>2</v>
      </c>
    </row>
    <row r="8" spans="1:11" ht="28.8" x14ac:dyDescent="0.3">
      <c r="A8" s="5">
        <v>7</v>
      </c>
      <c r="B8" s="6" t="s">
        <v>392</v>
      </c>
      <c r="C8">
        <v>2</v>
      </c>
      <c r="D8">
        <v>5</v>
      </c>
      <c r="E8">
        <v>4</v>
      </c>
      <c r="F8">
        <v>4</v>
      </c>
      <c r="G8">
        <v>4</v>
      </c>
      <c r="H8">
        <v>0</v>
      </c>
      <c r="I8">
        <v>19.5</v>
      </c>
      <c r="J8">
        <v>0</v>
      </c>
      <c r="K8">
        <v>2</v>
      </c>
    </row>
    <row r="9" spans="1:11" x14ac:dyDescent="0.3">
      <c r="A9" s="5">
        <v>8</v>
      </c>
      <c r="B9" s="6" t="s">
        <v>393</v>
      </c>
      <c r="C9">
        <v>1</v>
      </c>
      <c r="D9">
        <v>5</v>
      </c>
      <c r="E9">
        <v>4</v>
      </c>
      <c r="F9">
        <v>4</v>
      </c>
      <c r="G9">
        <v>4</v>
      </c>
      <c r="H9">
        <v>0</v>
      </c>
      <c r="I9">
        <v>27.3</v>
      </c>
      <c r="J9">
        <v>0</v>
      </c>
      <c r="K9">
        <v>2</v>
      </c>
    </row>
    <row r="10" spans="1:11" ht="28.8" x14ac:dyDescent="0.3">
      <c r="A10" s="5">
        <v>9</v>
      </c>
      <c r="B10" s="6" t="s">
        <v>26</v>
      </c>
      <c r="C10">
        <v>2</v>
      </c>
      <c r="D10">
        <v>5</v>
      </c>
      <c r="E10">
        <v>4</v>
      </c>
      <c r="F10">
        <v>5</v>
      </c>
      <c r="G10">
        <v>5</v>
      </c>
      <c r="H10">
        <v>0</v>
      </c>
      <c r="I10">
        <v>24.7</v>
      </c>
      <c r="J10">
        <v>0</v>
      </c>
      <c r="K10">
        <v>2</v>
      </c>
    </row>
    <row r="11" spans="1:11" ht="43.2" x14ac:dyDescent="0.3">
      <c r="A11" s="5">
        <v>10</v>
      </c>
      <c r="B11" s="6" t="s">
        <v>28</v>
      </c>
      <c r="C11">
        <v>2</v>
      </c>
      <c r="D11">
        <v>5</v>
      </c>
      <c r="E11">
        <v>4</v>
      </c>
      <c r="F11">
        <v>5</v>
      </c>
      <c r="G11">
        <v>5</v>
      </c>
      <c r="H11">
        <v>0</v>
      </c>
      <c r="I11">
        <v>23.400000000000002</v>
      </c>
      <c r="J11">
        <v>0</v>
      </c>
      <c r="K11">
        <v>2</v>
      </c>
    </row>
    <row r="12" spans="1:11" x14ac:dyDescent="0.3">
      <c r="A12" s="5">
        <v>11</v>
      </c>
      <c r="B12" s="6" t="s">
        <v>30</v>
      </c>
      <c r="C12">
        <v>2</v>
      </c>
      <c r="D12">
        <v>5</v>
      </c>
      <c r="E12">
        <v>4</v>
      </c>
      <c r="F12">
        <v>5</v>
      </c>
      <c r="G12">
        <v>5</v>
      </c>
      <c r="H12">
        <v>0</v>
      </c>
      <c r="I12">
        <v>23.400000000000002</v>
      </c>
      <c r="J12">
        <v>0</v>
      </c>
      <c r="K12">
        <v>2</v>
      </c>
    </row>
    <row r="13" spans="1:11" x14ac:dyDescent="0.3">
      <c r="A13" s="5">
        <v>12</v>
      </c>
      <c r="B13" s="6" t="s">
        <v>32</v>
      </c>
      <c r="C13">
        <v>2</v>
      </c>
      <c r="D13">
        <v>5</v>
      </c>
      <c r="E13">
        <v>4</v>
      </c>
      <c r="F13">
        <v>5</v>
      </c>
      <c r="G13">
        <v>5</v>
      </c>
      <c r="H13">
        <v>0</v>
      </c>
      <c r="I13">
        <v>19.5</v>
      </c>
      <c r="J13">
        <v>0</v>
      </c>
      <c r="K13">
        <v>2</v>
      </c>
    </row>
    <row r="14" spans="1:11" x14ac:dyDescent="0.3">
      <c r="A14" s="5">
        <v>13</v>
      </c>
      <c r="B14" s="6" t="s">
        <v>394</v>
      </c>
      <c r="C14">
        <v>2</v>
      </c>
      <c r="D14">
        <v>5</v>
      </c>
      <c r="E14">
        <v>4</v>
      </c>
      <c r="F14">
        <v>5</v>
      </c>
      <c r="G14">
        <v>5</v>
      </c>
      <c r="H14">
        <v>0</v>
      </c>
      <c r="I14">
        <v>19.5</v>
      </c>
      <c r="J14">
        <v>0</v>
      </c>
      <c r="K14">
        <v>2</v>
      </c>
    </row>
    <row r="15" spans="1:11" x14ac:dyDescent="0.3">
      <c r="A15" s="5">
        <v>14</v>
      </c>
      <c r="B15" s="6" t="s">
        <v>35</v>
      </c>
      <c r="C15">
        <v>2</v>
      </c>
      <c r="D15">
        <v>5</v>
      </c>
      <c r="E15">
        <v>5</v>
      </c>
      <c r="F15">
        <v>5</v>
      </c>
      <c r="G15">
        <v>5</v>
      </c>
      <c r="H15">
        <v>0</v>
      </c>
      <c r="I15">
        <v>26</v>
      </c>
      <c r="J15">
        <v>0</v>
      </c>
      <c r="K15">
        <v>2</v>
      </c>
    </row>
    <row r="16" spans="1:11" ht="28.8" x14ac:dyDescent="0.3">
      <c r="A16" s="5">
        <v>15</v>
      </c>
      <c r="B16" s="6" t="s">
        <v>37</v>
      </c>
      <c r="C16">
        <v>2</v>
      </c>
      <c r="D16">
        <v>5</v>
      </c>
      <c r="E16">
        <v>4</v>
      </c>
      <c r="F16">
        <v>5</v>
      </c>
      <c r="G16">
        <v>5</v>
      </c>
      <c r="H16">
        <v>0</v>
      </c>
      <c r="I16">
        <v>7.8000000000000007</v>
      </c>
      <c r="J16">
        <v>0</v>
      </c>
      <c r="K16">
        <v>2</v>
      </c>
    </row>
    <row r="17" spans="1:11" x14ac:dyDescent="0.3">
      <c r="A17" s="5">
        <v>16</v>
      </c>
      <c r="B17" s="6" t="s">
        <v>39</v>
      </c>
      <c r="C17">
        <v>2</v>
      </c>
      <c r="D17">
        <v>5</v>
      </c>
      <c r="E17">
        <v>4</v>
      </c>
      <c r="F17">
        <v>5</v>
      </c>
      <c r="G17">
        <v>5</v>
      </c>
      <c r="H17">
        <v>0</v>
      </c>
      <c r="I17">
        <v>23.400000000000002</v>
      </c>
      <c r="J17">
        <v>0</v>
      </c>
      <c r="K17">
        <v>2</v>
      </c>
    </row>
    <row r="18" spans="1:11" x14ac:dyDescent="0.3">
      <c r="A18" s="5">
        <v>17</v>
      </c>
      <c r="B18" s="6" t="s">
        <v>45</v>
      </c>
      <c r="C18">
        <v>2</v>
      </c>
      <c r="D18">
        <v>5</v>
      </c>
      <c r="E18">
        <v>4</v>
      </c>
      <c r="F18">
        <v>4</v>
      </c>
      <c r="G18">
        <v>4</v>
      </c>
      <c r="H18">
        <v>0</v>
      </c>
      <c r="I18">
        <v>22.1</v>
      </c>
      <c r="J18">
        <v>0</v>
      </c>
      <c r="K18">
        <v>2</v>
      </c>
    </row>
    <row r="19" spans="1:11" x14ac:dyDescent="0.3">
      <c r="A19" s="5">
        <v>18</v>
      </c>
      <c r="B19" s="6" t="s">
        <v>395</v>
      </c>
      <c r="C19">
        <v>2</v>
      </c>
      <c r="D19">
        <v>5</v>
      </c>
      <c r="E19">
        <v>4</v>
      </c>
      <c r="F19">
        <v>5</v>
      </c>
      <c r="G19">
        <v>5</v>
      </c>
      <c r="H19">
        <v>0</v>
      </c>
      <c r="I19">
        <v>35.1</v>
      </c>
      <c r="J19">
        <v>0</v>
      </c>
      <c r="K19">
        <v>2</v>
      </c>
    </row>
    <row r="20" spans="1:11" x14ac:dyDescent="0.3">
      <c r="A20" s="5">
        <v>19</v>
      </c>
      <c r="B20" s="6" t="s">
        <v>396</v>
      </c>
      <c r="C20">
        <v>2</v>
      </c>
      <c r="D20">
        <v>5</v>
      </c>
      <c r="E20">
        <v>4</v>
      </c>
      <c r="F20">
        <v>5</v>
      </c>
      <c r="G20">
        <v>5</v>
      </c>
      <c r="H20">
        <v>0</v>
      </c>
      <c r="I20">
        <v>26</v>
      </c>
      <c r="J20">
        <v>0</v>
      </c>
      <c r="K20">
        <v>2</v>
      </c>
    </row>
    <row r="21" spans="1:11" ht="28.8" x14ac:dyDescent="0.3">
      <c r="A21" s="5">
        <v>20</v>
      </c>
      <c r="B21" s="6" t="s">
        <v>277</v>
      </c>
      <c r="C21">
        <v>2</v>
      </c>
      <c r="D21">
        <v>5</v>
      </c>
      <c r="E21">
        <v>4</v>
      </c>
      <c r="F21">
        <v>5</v>
      </c>
      <c r="G21">
        <v>5</v>
      </c>
      <c r="H21">
        <v>0</v>
      </c>
      <c r="I21">
        <v>19.5</v>
      </c>
      <c r="J21">
        <v>0</v>
      </c>
      <c r="K21">
        <v>2</v>
      </c>
    </row>
    <row r="22" spans="1:11" x14ac:dyDescent="0.3">
      <c r="A22" s="5">
        <v>21</v>
      </c>
      <c r="B22" s="6" t="s">
        <v>61</v>
      </c>
      <c r="C22">
        <v>2</v>
      </c>
      <c r="D22">
        <v>5</v>
      </c>
      <c r="E22">
        <v>4</v>
      </c>
      <c r="F22">
        <v>5</v>
      </c>
      <c r="G22">
        <v>5</v>
      </c>
      <c r="H22">
        <v>0</v>
      </c>
      <c r="I22">
        <v>33.800000000000004</v>
      </c>
      <c r="J22">
        <v>0</v>
      </c>
      <c r="K22">
        <v>2</v>
      </c>
    </row>
    <row r="23" spans="1:11" x14ac:dyDescent="0.3">
      <c r="A23" s="5">
        <v>22</v>
      </c>
      <c r="B23" s="6" t="s">
        <v>397</v>
      </c>
      <c r="C23">
        <v>2</v>
      </c>
      <c r="D23">
        <v>5</v>
      </c>
      <c r="E23">
        <v>4</v>
      </c>
      <c r="F23">
        <v>5</v>
      </c>
      <c r="G23">
        <v>5</v>
      </c>
      <c r="H23">
        <v>0</v>
      </c>
      <c r="I23">
        <v>33.800000000000004</v>
      </c>
      <c r="J23">
        <v>0</v>
      </c>
      <c r="K23">
        <v>2</v>
      </c>
    </row>
    <row r="24" spans="1:11" x14ac:dyDescent="0.3">
      <c r="A24" s="5">
        <v>23</v>
      </c>
      <c r="B24" s="6" t="s">
        <v>398</v>
      </c>
      <c r="C24">
        <v>2</v>
      </c>
      <c r="D24">
        <v>5</v>
      </c>
      <c r="E24">
        <v>4</v>
      </c>
      <c r="F24">
        <v>5</v>
      </c>
      <c r="G24">
        <v>5</v>
      </c>
      <c r="H24">
        <v>0</v>
      </c>
      <c r="I24">
        <v>28.6</v>
      </c>
      <c r="J24">
        <v>0</v>
      </c>
      <c r="K24">
        <v>2</v>
      </c>
    </row>
    <row r="25" spans="1:11" x14ac:dyDescent="0.3">
      <c r="A25" s="5">
        <v>24</v>
      </c>
      <c r="B25" s="6" t="s">
        <v>65</v>
      </c>
      <c r="C25">
        <v>2</v>
      </c>
      <c r="D25">
        <v>5</v>
      </c>
      <c r="E25">
        <v>4</v>
      </c>
      <c r="F25">
        <v>5</v>
      </c>
      <c r="G25">
        <v>5</v>
      </c>
      <c r="H25">
        <v>0</v>
      </c>
      <c r="I25">
        <v>33.800000000000004</v>
      </c>
      <c r="J25">
        <v>0</v>
      </c>
      <c r="K25">
        <v>2</v>
      </c>
    </row>
    <row r="26" spans="1:11" x14ac:dyDescent="0.3">
      <c r="A26" s="5">
        <v>25</v>
      </c>
      <c r="B26" s="6" t="s">
        <v>399</v>
      </c>
      <c r="C26">
        <v>2</v>
      </c>
      <c r="D26">
        <v>5</v>
      </c>
      <c r="E26">
        <v>4</v>
      </c>
      <c r="F26">
        <v>5</v>
      </c>
      <c r="G26">
        <v>5</v>
      </c>
      <c r="H26">
        <v>0</v>
      </c>
      <c r="I26">
        <v>10.4</v>
      </c>
      <c r="J26">
        <v>0</v>
      </c>
      <c r="K26">
        <v>2</v>
      </c>
    </row>
    <row r="27" spans="1:11" x14ac:dyDescent="0.3">
      <c r="A27" s="5">
        <v>26</v>
      </c>
      <c r="B27" s="6" t="s">
        <v>69</v>
      </c>
      <c r="C27">
        <v>2</v>
      </c>
      <c r="D27">
        <v>5</v>
      </c>
      <c r="E27">
        <v>4</v>
      </c>
      <c r="F27">
        <v>5</v>
      </c>
      <c r="G27">
        <v>5</v>
      </c>
      <c r="H27">
        <v>0</v>
      </c>
      <c r="I27">
        <v>36.4</v>
      </c>
      <c r="J27">
        <v>0</v>
      </c>
      <c r="K27">
        <v>2</v>
      </c>
    </row>
    <row r="28" spans="1:11" x14ac:dyDescent="0.3">
      <c r="A28" s="5">
        <v>27</v>
      </c>
      <c r="B28" s="6" t="s">
        <v>71</v>
      </c>
      <c r="C28">
        <v>2</v>
      </c>
      <c r="D28">
        <v>5</v>
      </c>
      <c r="E28">
        <v>4</v>
      </c>
      <c r="F28">
        <v>5</v>
      </c>
      <c r="G28">
        <v>5</v>
      </c>
      <c r="H28">
        <v>0</v>
      </c>
      <c r="I28">
        <v>31.200000000000003</v>
      </c>
      <c r="J28">
        <v>0</v>
      </c>
      <c r="K28">
        <v>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BC464-A3F6-44AE-BC1D-CAD24FCE8A10}">
  <sheetPr codeName="Sheet4"/>
  <dimension ref="A1:K28"/>
  <sheetViews>
    <sheetView topLeftCell="C1" zoomScale="90" zoomScaleNormal="90" workbookViewId="0">
      <selection activeCell="K21" sqref="K21"/>
    </sheetView>
  </sheetViews>
  <sheetFormatPr defaultRowHeight="14.4" x14ac:dyDescent="0.3"/>
  <cols>
    <col min="1" max="1" width="12.44140625" customWidth="1"/>
    <col min="2" max="2" width="105.44140625" customWidth="1"/>
    <col min="3" max="3" width="16.6640625" customWidth="1"/>
    <col min="4" max="4" width="15.5546875" customWidth="1"/>
    <col min="5" max="5" width="18.88671875" customWidth="1"/>
    <col min="6" max="6" width="10.6640625" customWidth="1"/>
    <col min="7" max="7" width="16.109375" customWidth="1"/>
    <col min="9" max="9" width="24.44140625" customWidth="1"/>
    <col min="10" max="10" width="13.33203125" customWidth="1"/>
  </cols>
  <sheetData>
    <row r="1" spans="1:11" x14ac:dyDescent="0.3">
      <c r="A1" s="1" t="s">
        <v>0</v>
      </c>
      <c r="B1" s="1" t="s">
        <v>1</v>
      </c>
      <c r="C1" s="1" t="s">
        <v>2</v>
      </c>
      <c r="D1" s="1" t="s">
        <v>3</v>
      </c>
      <c r="E1" s="1" t="s">
        <v>4</v>
      </c>
      <c r="F1" s="1" t="s">
        <v>5</v>
      </c>
      <c r="G1" s="1" t="s">
        <v>6</v>
      </c>
      <c r="H1" s="1" t="s">
        <v>7</v>
      </c>
      <c r="I1" s="1" t="s">
        <v>8</v>
      </c>
      <c r="J1" s="1" t="s">
        <v>10</v>
      </c>
      <c r="K1" s="1" t="s">
        <v>9</v>
      </c>
    </row>
    <row r="2" spans="1:11" ht="43.2" x14ac:dyDescent="0.3">
      <c r="A2" s="5">
        <v>1</v>
      </c>
      <c r="B2" s="6" t="s">
        <v>16</v>
      </c>
      <c r="C2">
        <v>2</v>
      </c>
      <c r="D2">
        <v>4</v>
      </c>
      <c r="E2">
        <v>4</v>
      </c>
      <c r="F2">
        <v>5</v>
      </c>
      <c r="G2">
        <v>5</v>
      </c>
      <c r="H2">
        <v>0</v>
      </c>
      <c r="I2">
        <v>135.20000000000002</v>
      </c>
      <c r="J2">
        <v>0</v>
      </c>
      <c r="K2">
        <v>2</v>
      </c>
    </row>
    <row r="3" spans="1:11" x14ac:dyDescent="0.3">
      <c r="A3" s="5">
        <v>2</v>
      </c>
      <c r="B3" s="6" t="s">
        <v>389</v>
      </c>
      <c r="C3">
        <v>2</v>
      </c>
      <c r="D3">
        <v>5</v>
      </c>
      <c r="E3">
        <v>4</v>
      </c>
      <c r="F3">
        <v>5</v>
      </c>
      <c r="G3">
        <v>5</v>
      </c>
      <c r="H3">
        <v>0</v>
      </c>
      <c r="I3">
        <v>40.300000000000004</v>
      </c>
      <c r="J3">
        <v>0</v>
      </c>
      <c r="K3">
        <v>2</v>
      </c>
    </row>
    <row r="4" spans="1:11" x14ac:dyDescent="0.3">
      <c r="A4" s="5">
        <v>3</v>
      </c>
      <c r="B4" s="6" t="s">
        <v>18</v>
      </c>
      <c r="C4">
        <v>2</v>
      </c>
      <c r="D4">
        <v>5</v>
      </c>
      <c r="E4">
        <v>4</v>
      </c>
      <c r="F4">
        <v>5</v>
      </c>
      <c r="G4">
        <v>5</v>
      </c>
      <c r="H4">
        <v>0</v>
      </c>
      <c r="I4">
        <v>78</v>
      </c>
      <c r="J4">
        <v>0</v>
      </c>
      <c r="K4">
        <v>2</v>
      </c>
    </row>
    <row r="5" spans="1:11" x14ac:dyDescent="0.3">
      <c r="A5" s="5">
        <v>4</v>
      </c>
      <c r="B5" s="6" t="s">
        <v>390</v>
      </c>
      <c r="C5">
        <v>2</v>
      </c>
      <c r="D5">
        <v>5</v>
      </c>
      <c r="E5">
        <v>5</v>
      </c>
      <c r="F5">
        <v>5</v>
      </c>
      <c r="G5">
        <v>5</v>
      </c>
      <c r="H5">
        <v>0</v>
      </c>
      <c r="I5">
        <v>97.5</v>
      </c>
      <c r="J5">
        <v>0</v>
      </c>
      <c r="K5">
        <v>2</v>
      </c>
    </row>
    <row r="6" spans="1:11" ht="28.8" x14ac:dyDescent="0.3">
      <c r="A6" s="5">
        <v>5</v>
      </c>
      <c r="B6" s="6" t="s">
        <v>391</v>
      </c>
      <c r="C6">
        <v>2</v>
      </c>
      <c r="D6">
        <v>5</v>
      </c>
      <c r="E6">
        <v>5</v>
      </c>
      <c r="F6">
        <v>5</v>
      </c>
      <c r="G6">
        <v>5</v>
      </c>
      <c r="H6">
        <v>0</v>
      </c>
      <c r="I6">
        <v>83.2</v>
      </c>
      <c r="J6">
        <v>0</v>
      </c>
      <c r="K6">
        <v>2</v>
      </c>
    </row>
    <row r="7" spans="1:11" ht="43.2" x14ac:dyDescent="0.3">
      <c r="A7" s="5">
        <v>6</v>
      </c>
      <c r="B7" s="6" t="s">
        <v>22</v>
      </c>
      <c r="C7">
        <v>2</v>
      </c>
      <c r="D7">
        <v>5</v>
      </c>
      <c r="E7">
        <v>5</v>
      </c>
      <c r="F7">
        <v>5</v>
      </c>
      <c r="G7">
        <v>4</v>
      </c>
      <c r="H7">
        <v>0</v>
      </c>
      <c r="I7">
        <v>148.20000000000002</v>
      </c>
      <c r="J7">
        <v>0</v>
      </c>
      <c r="K7">
        <v>2</v>
      </c>
    </row>
    <row r="8" spans="1:11" ht="28.8" x14ac:dyDescent="0.3">
      <c r="A8" s="5">
        <v>7</v>
      </c>
      <c r="B8" s="6" t="s">
        <v>392</v>
      </c>
      <c r="C8">
        <v>2</v>
      </c>
      <c r="D8">
        <v>5</v>
      </c>
      <c r="E8">
        <v>5</v>
      </c>
      <c r="F8">
        <v>5</v>
      </c>
      <c r="G8">
        <v>4</v>
      </c>
      <c r="H8">
        <v>0</v>
      </c>
      <c r="I8">
        <v>124.80000000000001</v>
      </c>
      <c r="J8">
        <v>0</v>
      </c>
      <c r="K8">
        <v>2</v>
      </c>
    </row>
    <row r="9" spans="1:11" x14ac:dyDescent="0.3">
      <c r="A9" s="5">
        <v>8</v>
      </c>
      <c r="B9" s="6" t="s">
        <v>393</v>
      </c>
      <c r="C9">
        <v>2</v>
      </c>
      <c r="D9">
        <v>5</v>
      </c>
      <c r="E9">
        <v>5</v>
      </c>
      <c r="F9">
        <v>4</v>
      </c>
      <c r="G9">
        <v>5</v>
      </c>
      <c r="H9">
        <v>0</v>
      </c>
      <c r="I9">
        <v>118.3</v>
      </c>
      <c r="J9">
        <v>0</v>
      </c>
      <c r="K9">
        <v>2</v>
      </c>
    </row>
    <row r="10" spans="1:11" ht="28.8" x14ac:dyDescent="0.3">
      <c r="A10" s="5">
        <v>9</v>
      </c>
      <c r="B10" s="6" t="s">
        <v>26</v>
      </c>
      <c r="C10">
        <v>2</v>
      </c>
      <c r="D10">
        <v>5</v>
      </c>
      <c r="E10">
        <v>4</v>
      </c>
      <c r="F10">
        <v>5</v>
      </c>
      <c r="G10">
        <v>5</v>
      </c>
      <c r="H10">
        <v>0</v>
      </c>
      <c r="I10">
        <v>102.7</v>
      </c>
      <c r="J10">
        <v>0</v>
      </c>
      <c r="K10">
        <v>2</v>
      </c>
    </row>
    <row r="11" spans="1:11" ht="43.2" x14ac:dyDescent="0.3">
      <c r="A11" s="5">
        <v>10</v>
      </c>
      <c r="B11" s="6" t="s">
        <v>28</v>
      </c>
      <c r="C11">
        <v>2</v>
      </c>
      <c r="D11">
        <v>5</v>
      </c>
      <c r="E11">
        <v>4</v>
      </c>
      <c r="F11">
        <v>5</v>
      </c>
      <c r="G11">
        <v>5</v>
      </c>
      <c r="H11">
        <v>0</v>
      </c>
      <c r="I11">
        <v>127.4</v>
      </c>
      <c r="J11">
        <v>0</v>
      </c>
      <c r="K11">
        <v>2</v>
      </c>
    </row>
    <row r="12" spans="1:11" x14ac:dyDescent="0.3">
      <c r="A12" s="5">
        <v>11</v>
      </c>
      <c r="B12" s="6" t="s">
        <v>30</v>
      </c>
      <c r="C12">
        <v>2</v>
      </c>
      <c r="D12">
        <v>5</v>
      </c>
      <c r="E12">
        <v>5</v>
      </c>
      <c r="F12">
        <v>5</v>
      </c>
      <c r="G12">
        <v>5</v>
      </c>
      <c r="H12">
        <v>0</v>
      </c>
      <c r="I12">
        <v>76.7</v>
      </c>
      <c r="J12">
        <v>0</v>
      </c>
      <c r="K12">
        <v>2</v>
      </c>
    </row>
    <row r="13" spans="1:11" x14ac:dyDescent="0.3">
      <c r="A13" s="5">
        <v>12</v>
      </c>
      <c r="B13" s="6" t="s">
        <v>32</v>
      </c>
      <c r="C13">
        <v>2</v>
      </c>
      <c r="D13">
        <v>5</v>
      </c>
      <c r="E13">
        <v>4</v>
      </c>
      <c r="F13">
        <v>5</v>
      </c>
      <c r="G13">
        <v>4</v>
      </c>
      <c r="H13">
        <v>0</v>
      </c>
      <c r="I13">
        <v>93.600000000000009</v>
      </c>
      <c r="J13">
        <v>0</v>
      </c>
      <c r="K13">
        <v>2</v>
      </c>
    </row>
    <row r="14" spans="1:11" x14ac:dyDescent="0.3">
      <c r="A14" s="5">
        <v>13</v>
      </c>
      <c r="B14" s="6" t="s">
        <v>394</v>
      </c>
      <c r="C14">
        <v>2</v>
      </c>
      <c r="D14">
        <v>5</v>
      </c>
      <c r="E14">
        <v>5</v>
      </c>
      <c r="F14">
        <v>5</v>
      </c>
      <c r="G14">
        <v>4</v>
      </c>
      <c r="H14">
        <v>0</v>
      </c>
      <c r="I14">
        <v>78</v>
      </c>
      <c r="J14">
        <v>0</v>
      </c>
      <c r="K14">
        <v>2</v>
      </c>
    </row>
    <row r="15" spans="1:11" x14ac:dyDescent="0.3">
      <c r="A15" s="5">
        <v>14</v>
      </c>
      <c r="B15" s="6" t="s">
        <v>35</v>
      </c>
      <c r="C15">
        <v>2</v>
      </c>
      <c r="D15">
        <v>5</v>
      </c>
      <c r="E15">
        <v>5</v>
      </c>
      <c r="F15">
        <v>5</v>
      </c>
      <c r="G15">
        <v>4</v>
      </c>
      <c r="H15">
        <v>0</v>
      </c>
      <c r="I15">
        <v>124.80000000000001</v>
      </c>
      <c r="J15">
        <v>0</v>
      </c>
      <c r="K15">
        <v>2</v>
      </c>
    </row>
    <row r="16" spans="1:11" ht="28.8" x14ac:dyDescent="0.3">
      <c r="A16" s="5">
        <v>15</v>
      </c>
      <c r="B16" s="6" t="s">
        <v>37</v>
      </c>
      <c r="C16">
        <v>2</v>
      </c>
      <c r="D16">
        <v>5</v>
      </c>
      <c r="E16">
        <v>4</v>
      </c>
      <c r="F16">
        <v>5</v>
      </c>
      <c r="G16">
        <v>4</v>
      </c>
      <c r="H16">
        <v>0</v>
      </c>
      <c r="I16">
        <v>150.80000000000001</v>
      </c>
      <c r="J16">
        <v>0</v>
      </c>
      <c r="K16">
        <v>2</v>
      </c>
    </row>
    <row r="17" spans="1:11" x14ac:dyDescent="0.3">
      <c r="A17" s="5">
        <v>16</v>
      </c>
      <c r="B17" s="6" t="s">
        <v>39</v>
      </c>
      <c r="C17">
        <v>2</v>
      </c>
      <c r="D17">
        <v>5</v>
      </c>
      <c r="E17">
        <v>4</v>
      </c>
      <c r="F17">
        <v>5</v>
      </c>
      <c r="G17">
        <v>5</v>
      </c>
      <c r="H17">
        <v>0</v>
      </c>
      <c r="I17">
        <v>93.600000000000009</v>
      </c>
      <c r="J17">
        <v>0</v>
      </c>
      <c r="K17">
        <v>2</v>
      </c>
    </row>
    <row r="18" spans="1:11" x14ac:dyDescent="0.3">
      <c r="A18" s="5">
        <v>17</v>
      </c>
      <c r="B18" s="6" t="s">
        <v>45</v>
      </c>
      <c r="C18">
        <v>2</v>
      </c>
      <c r="D18">
        <v>5</v>
      </c>
      <c r="E18">
        <v>4</v>
      </c>
      <c r="F18">
        <v>5</v>
      </c>
      <c r="G18">
        <v>5</v>
      </c>
      <c r="H18">
        <v>0</v>
      </c>
      <c r="I18">
        <v>92.3</v>
      </c>
      <c r="J18">
        <v>0</v>
      </c>
      <c r="K18">
        <v>2</v>
      </c>
    </row>
    <row r="19" spans="1:11" x14ac:dyDescent="0.3">
      <c r="A19" s="5">
        <v>18</v>
      </c>
      <c r="B19" s="6" t="s">
        <v>395</v>
      </c>
      <c r="C19">
        <v>2</v>
      </c>
      <c r="D19">
        <v>5</v>
      </c>
      <c r="E19">
        <v>4</v>
      </c>
      <c r="F19">
        <v>5</v>
      </c>
      <c r="G19">
        <v>5</v>
      </c>
      <c r="H19">
        <v>0</v>
      </c>
      <c r="I19">
        <v>71.5</v>
      </c>
      <c r="J19">
        <v>0</v>
      </c>
      <c r="K19">
        <v>2</v>
      </c>
    </row>
    <row r="20" spans="1:11" x14ac:dyDescent="0.3">
      <c r="A20" s="5">
        <v>19</v>
      </c>
      <c r="B20" s="6" t="s">
        <v>396</v>
      </c>
      <c r="C20">
        <v>2</v>
      </c>
      <c r="D20">
        <v>5</v>
      </c>
      <c r="E20">
        <v>4</v>
      </c>
      <c r="F20">
        <v>5</v>
      </c>
      <c r="G20">
        <v>5</v>
      </c>
      <c r="H20">
        <v>0</v>
      </c>
      <c r="I20">
        <v>117</v>
      </c>
      <c r="J20">
        <v>0</v>
      </c>
      <c r="K20">
        <v>2</v>
      </c>
    </row>
    <row r="21" spans="1:11" ht="28.8" x14ac:dyDescent="0.3">
      <c r="A21" s="5">
        <v>20</v>
      </c>
      <c r="B21" s="6" t="s">
        <v>277</v>
      </c>
      <c r="C21">
        <v>2</v>
      </c>
      <c r="D21">
        <v>5</v>
      </c>
      <c r="E21">
        <v>5</v>
      </c>
      <c r="F21">
        <v>5</v>
      </c>
      <c r="G21">
        <v>5</v>
      </c>
      <c r="H21">
        <v>0</v>
      </c>
      <c r="I21">
        <v>126.10000000000001</v>
      </c>
      <c r="J21">
        <v>0</v>
      </c>
      <c r="K21">
        <v>2</v>
      </c>
    </row>
    <row r="22" spans="1:11" x14ac:dyDescent="0.3">
      <c r="A22" s="5">
        <v>21</v>
      </c>
      <c r="B22" s="6" t="s">
        <v>61</v>
      </c>
      <c r="C22">
        <v>2</v>
      </c>
      <c r="D22">
        <v>5</v>
      </c>
      <c r="E22">
        <v>5</v>
      </c>
      <c r="F22">
        <v>5</v>
      </c>
      <c r="G22">
        <v>5</v>
      </c>
      <c r="H22">
        <v>0</v>
      </c>
      <c r="I22">
        <v>122.2</v>
      </c>
      <c r="J22">
        <v>0</v>
      </c>
      <c r="K22">
        <v>2</v>
      </c>
    </row>
    <row r="23" spans="1:11" x14ac:dyDescent="0.3">
      <c r="A23" s="5">
        <v>22</v>
      </c>
      <c r="B23" s="6" t="s">
        <v>397</v>
      </c>
      <c r="C23">
        <v>2</v>
      </c>
      <c r="D23">
        <v>5</v>
      </c>
      <c r="E23">
        <v>4</v>
      </c>
      <c r="F23">
        <v>5</v>
      </c>
      <c r="G23">
        <v>5</v>
      </c>
      <c r="H23">
        <v>0</v>
      </c>
      <c r="I23">
        <v>136.5</v>
      </c>
      <c r="J23">
        <v>0</v>
      </c>
      <c r="K23">
        <v>2</v>
      </c>
    </row>
    <row r="24" spans="1:11" x14ac:dyDescent="0.3">
      <c r="A24" s="5">
        <v>23</v>
      </c>
      <c r="B24" s="6" t="s">
        <v>398</v>
      </c>
      <c r="C24">
        <v>2</v>
      </c>
      <c r="D24">
        <v>5</v>
      </c>
      <c r="E24">
        <v>4</v>
      </c>
      <c r="F24">
        <v>5</v>
      </c>
      <c r="G24">
        <v>5</v>
      </c>
      <c r="H24">
        <v>0</v>
      </c>
      <c r="I24">
        <v>71.5</v>
      </c>
      <c r="J24">
        <v>0</v>
      </c>
      <c r="K24">
        <v>2</v>
      </c>
    </row>
    <row r="25" spans="1:11" x14ac:dyDescent="0.3">
      <c r="A25" s="5">
        <v>24</v>
      </c>
      <c r="B25" s="6" t="s">
        <v>65</v>
      </c>
      <c r="C25">
        <v>2</v>
      </c>
      <c r="D25">
        <v>5</v>
      </c>
      <c r="E25">
        <v>4</v>
      </c>
      <c r="F25">
        <v>5</v>
      </c>
      <c r="G25">
        <v>4</v>
      </c>
      <c r="H25">
        <v>0</v>
      </c>
      <c r="I25">
        <v>127.4</v>
      </c>
      <c r="J25">
        <v>0</v>
      </c>
      <c r="K25">
        <v>2</v>
      </c>
    </row>
    <row r="26" spans="1:11" x14ac:dyDescent="0.3">
      <c r="A26" s="5">
        <v>25</v>
      </c>
      <c r="B26" s="6" t="s">
        <v>399</v>
      </c>
      <c r="C26">
        <v>2</v>
      </c>
      <c r="D26">
        <v>5</v>
      </c>
      <c r="E26">
        <v>4</v>
      </c>
      <c r="F26">
        <v>5</v>
      </c>
      <c r="G26">
        <v>4</v>
      </c>
      <c r="H26">
        <v>0</v>
      </c>
      <c r="I26">
        <v>111.8</v>
      </c>
      <c r="J26">
        <v>0</v>
      </c>
      <c r="K26">
        <v>2</v>
      </c>
    </row>
    <row r="27" spans="1:11" x14ac:dyDescent="0.3">
      <c r="A27" s="5">
        <v>26</v>
      </c>
      <c r="B27" s="6" t="s">
        <v>69</v>
      </c>
      <c r="C27">
        <v>2</v>
      </c>
      <c r="D27">
        <v>5</v>
      </c>
      <c r="E27">
        <v>4</v>
      </c>
      <c r="F27">
        <v>5</v>
      </c>
      <c r="G27">
        <v>4</v>
      </c>
      <c r="H27">
        <v>0</v>
      </c>
      <c r="I27">
        <v>143</v>
      </c>
      <c r="J27">
        <v>0</v>
      </c>
      <c r="K27">
        <v>2</v>
      </c>
    </row>
    <row r="28" spans="1:11" x14ac:dyDescent="0.3">
      <c r="A28" s="5">
        <v>27</v>
      </c>
      <c r="B28" s="6" t="s">
        <v>71</v>
      </c>
      <c r="C28">
        <v>2</v>
      </c>
      <c r="D28">
        <v>5</v>
      </c>
      <c r="E28">
        <v>4</v>
      </c>
      <c r="F28">
        <v>5</v>
      </c>
      <c r="G28">
        <v>5</v>
      </c>
      <c r="H28">
        <v>0</v>
      </c>
      <c r="I28">
        <v>184.6</v>
      </c>
      <c r="J28">
        <v>0</v>
      </c>
      <c r="K28">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9EBFB-0F96-44DF-926E-F0B1841BA3E7}">
  <sheetPr codeName="Sheet5"/>
  <dimension ref="A1:K28"/>
  <sheetViews>
    <sheetView topLeftCell="C1" workbookViewId="0">
      <selection activeCell="K22" sqref="K22"/>
    </sheetView>
  </sheetViews>
  <sheetFormatPr defaultRowHeight="14.4" x14ac:dyDescent="0.3"/>
  <cols>
    <col min="1" max="1" width="12.44140625" customWidth="1"/>
    <col min="2" max="2" width="105.44140625" customWidth="1"/>
    <col min="3" max="3" width="16.6640625" customWidth="1"/>
    <col min="4" max="4" width="15.5546875" customWidth="1"/>
    <col min="5" max="5" width="18.88671875" customWidth="1"/>
    <col min="6" max="6" width="10.6640625" customWidth="1"/>
    <col min="7" max="7" width="16.109375" customWidth="1"/>
    <col min="9" max="9" width="24.44140625" customWidth="1"/>
    <col min="10" max="10" width="13.33203125" customWidth="1"/>
  </cols>
  <sheetData>
    <row r="1" spans="1:11" x14ac:dyDescent="0.3">
      <c r="A1" s="1" t="s">
        <v>0</v>
      </c>
      <c r="B1" s="1" t="s">
        <v>1</v>
      </c>
      <c r="C1" s="1" t="s">
        <v>2</v>
      </c>
      <c r="D1" s="1" t="s">
        <v>3</v>
      </c>
      <c r="E1" s="1" t="s">
        <v>4</v>
      </c>
      <c r="F1" s="1" t="s">
        <v>5</v>
      </c>
      <c r="G1" s="1" t="s">
        <v>6</v>
      </c>
      <c r="H1" s="1" t="s">
        <v>7</v>
      </c>
      <c r="I1" s="1" t="s">
        <v>8</v>
      </c>
      <c r="J1" s="1" t="s">
        <v>10</v>
      </c>
      <c r="K1" s="1" t="s">
        <v>9</v>
      </c>
    </row>
    <row r="2" spans="1:11" ht="43.2" x14ac:dyDescent="0.3">
      <c r="A2" s="5">
        <v>1</v>
      </c>
      <c r="B2" s="6" t="s">
        <v>16</v>
      </c>
      <c r="C2">
        <v>1</v>
      </c>
      <c r="D2">
        <v>2</v>
      </c>
      <c r="E2">
        <v>3</v>
      </c>
      <c r="F2">
        <v>4</v>
      </c>
      <c r="G2">
        <v>5</v>
      </c>
      <c r="H2">
        <v>0</v>
      </c>
      <c r="I2">
        <v>42.9</v>
      </c>
      <c r="J2">
        <v>1</v>
      </c>
      <c r="K2">
        <v>0</v>
      </c>
    </row>
    <row r="3" spans="1:11" x14ac:dyDescent="0.3">
      <c r="A3" s="5">
        <v>2</v>
      </c>
      <c r="B3" s="6" t="s">
        <v>389</v>
      </c>
      <c r="C3">
        <v>2</v>
      </c>
      <c r="D3">
        <v>3</v>
      </c>
      <c r="E3">
        <v>4</v>
      </c>
      <c r="F3">
        <v>4</v>
      </c>
      <c r="G3">
        <v>5</v>
      </c>
      <c r="H3">
        <v>0</v>
      </c>
      <c r="I3">
        <v>40.300000000000004</v>
      </c>
      <c r="J3">
        <v>1</v>
      </c>
      <c r="K3">
        <v>0</v>
      </c>
    </row>
    <row r="4" spans="1:11" x14ac:dyDescent="0.3">
      <c r="A4" s="5">
        <v>3</v>
      </c>
      <c r="B4" s="6" t="s">
        <v>18</v>
      </c>
      <c r="C4">
        <v>2</v>
      </c>
      <c r="D4">
        <v>3</v>
      </c>
      <c r="E4">
        <v>4</v>
      </c>
      <c r="F4">
        <v>4</v>
      </c>
      <c r="G4">
        <v>5</v>
      </c>
      <c r="H4">
        <v>0</v>
      </c>
      <c r="I4">
        <v>15.600000000000001</v>
      </c>
      <c r="J4">
        <v>1</v>
      </c>
      <c r="K4">
        <v>0</v>
      </c>
    </row>
    <row r="5" spans="1:11" x14ac:dyDescent="0.3">
      <c r="A5" s="5">
        <v>4</v>
      </c>
      <c r="B5" s="6" t="s">
        <v>390</v>
      </c>
      <c r="C5">
        <v>1</v>
      </c>
      <c r="D5">
        <v>5</v>
      </c>
      <c r="E5">
        <v>4</v>
      </c>
      <c r="F5">
        <v>5</v>
      </c>
      <c r="G5">
        <v>5</v>
      </c>
      <c r="H5">
        <v>0</v>
      </c>
      <c r="I5">
        <v>61.1</v>
      </c>
      <c r="J5">
        <v>1</v>
      </c>
      <c r="K5">
        <v>0</v>
      </c>
    </row>
    <row r="6" spans="1:11" ht="28.8" x14ac:dyDescent="0.3">
      <c r="A6" s="5">
        <v>5</v>
      </c>
      <c r="B6" s="6" t="s">
        <v>391</v>
      </c>
      <c r="C6">
        <v>2</v>
      </c>
      <c r="D6">
        <v>3</v>
      </c>
      <c r="E6">
        <v>5</v>
      </c>
      <c r="F6">
        <v>5</v>
      </c>
      <c r="G6">
        <v>5</v>
      </c>
      <c r="H6">
        <v>0</v>
      </c>
      <c r="I6">
        <v>32.5</v>
      </c>
      <c r="J6">
        <v>1</v>
      </c>
      <c r="K6">
        <v>0</v>
      </c>
    </row>
    <row r="7" spans="1:11" ht="43.2" x14ac:dyDescent="0.3">
      <c r="A7" s="5">
        <v>6</v>
      </c>
      <c r="B7" s="6" t="s">
        <v>22</v>
      </c>
      <c r="C7">
        <v>1</v>
      </c>
      <c r="D7">
        <v>3</v>
      </c>
      <c r="E7">
        <v>4</v>
      </c>
      <c r="F7">
        <v>5</v>
      </c>
      <c r="G7">
        <v>5</v>
      </c>
      <c r="H7">
        <v>0</v>
      </c>
      <c r="I7">
        <v>63.7</v>
      </c>
      <c r="J7">
        <v>1</v>
      </c>
      <c r="K7">
        <v>0</v>
      </c>
    </row>
    <row r="8" spans="1:11" ht="28.8" x14ac:dyDescent="0.3">
      <c r="A8" s="5">
        <v>7</v>
      </c>
      <c r="B8" s="6" t="s">
        <v>392</v>
      </c>
      <c r="C8">
        <v>2</v>
      </c>
      <c r="D8">
        <v>3</v>
      </c>
      <c r="E8">
        <v>4</v>
      </c>
      <c r="F8">
        <v>4</v>
      </c>
      <c r="G8">
        <v>4</v>
      </c>
      <c r="H8">
        <v>1</v>
      </c>
      <c r="I8">
        <v>55.9</v>
      </c>
      <c r="J8">
        <v>1</v>
      </c>
      <c r="K8">
        <v>0</v>
      </c>
    </row>
    <row r="9" spans="1:11" x14ac:dyDescent="0.3">
      <c r="A9" s="5">
        <v>8</v>
      </c>
      <c r="B9" s="6" t="s">
        <v>393</v>
      </c>
      <c r="C9">
        <v>2</v>
      </c>
      <c r="D9">
        <v>3</v>
      </c>
      <c r="E9">
        <v>5</v>
      </c>
      <c r="F9">
        <v>4</v>
      </c>
      <c r="G9">
        <v>4</v>
      </c>
      <c r="H9">
        <v>1</v>
      </c>
      <c r="I9">
        <v>78</v>
      </c>
      <c r="J9">
        <v>1</v>
      </c>
      <c r="K9">
        <v>0</v>
      </c>
    </row>
    <row r="10" spans="1:11" ht="28.8" x14ac:dyDescent="0.3">
      <c r="A10" s="5">
        <v>9</v>
      </c>
      <c r="B10" s="6" t="s">
        <v>26</v>
      </c>
      <c r="C10">
        <v>2</v>
      </c>
      <c r="D10">
        <v>4</v>
      </c>
      <c r="E10">
        <v>5</v>
      </c>
      <c r="F10">
        <v>5</v>
      </c>
      <c r="G10">
        <v>4</v>
      </c>
      <c r="H10">
        <v>0</v>
      </c>
      <c r="I10">
        <v>84.5</v>
      </c>
      <c r="J10">
        <v>1</v>
      </c>
      <c r="K10">
        <v>0</v>
      </c>
    </row>
    <row r="11" spans="1:11" ht="43.2" x14ac:dyDescent="0.3">
      <c r="A11" s="5">
        <v>10</v>
      </c>
      <c r="B11" s="6" t="s">
        <v>28</v>
      </c>
      <c r="C11">
        <v>1</v>
      </c>
      <c r="D11">
        <v>3</v>
      </c>
      <c r="E11">
        <v>4</v>
      </c>
      <c r="F11">
        <v>4</v>
      </c>
      <c r="G11">
        <v>4</v>
      </c>
      <c r="H11">
        <v>0</v>
      </c>
      <c r="I11">
        <v>46.800000000000004</v>
      </c>
      <c r="J11">
        <v>1</v>
      </c>
      <c r="K11">
        <v>0</v>
      </c>
    </row>
    <row r="12" spans="1:11" x14ac:dyDescent="0.3">
      <c r="A12" s="5">
        <v>11</v>
      </c>
      <c r="B12" s="6" t="s">
        <v>30</v>
      </c>
      <c r="C12">
        <v>1</v>
      </c>
      <c r="D12">
        <v>3</v>
      </c>
      <c r="E12">
        <v>4</v>
      </c>
      <c r="F12">
        <v>4</v>
      </c>
      <c r="G12">
        <v>5</v>
      </c>
      <c r="H12">
        <v>0</v>
      </c>
      <c r="I12">
        <v>27.3</v>
      </c>
      <c r="J12">
        <v>1</v>
      </c>
      <c r="K12">
        <v>0</v>
      </c>
    </row>
    <row r="13" spans="1:11" x14ac:dyDescent="0.3">
      <c r="A13" s="5">
        <v>12</v>
      </c>
      <c r="B13" s="6" t="s">
        <v>32</v>
      </c>
      <c r="C13">
        <v>2</v>
      </c>
      <c r="D13">
        <v>5</v>
      </c>
      <c r="E13">
        <v>4</v>
      </c>
      <c r="F13">
        <v>4</v>
      </c>
      <c r="G13">
        <v>4</v>
      </c>
      <c r="H13">
        <v>0</v>
      </c>
      <c r="I13">
        <v>71.5</v>
      </c>
      <c r="J13">
        <v>1</v>
      </c>
      <c r="K13">
        <v>0</v>
      </c>
    </row>
    <row r="14" spans="1:11" x14ac:dyDescent="0.3">
      <c r="A14" s="5">
        <v>13</v>
      </c>
      <c r="B14" s="6" t="s">
        <v>394</v>
      </c>
      <c r="C14">
        <v>0</v>
      </c>
      <c r="D14">
        <v>1</v>
      </c>
      <c r="E14">
        <v>4</v>
      </c>
      <c r="F14">
        <v>5</v>
      </c>
      <c r="G14">
        <v>5</v>
      </c>
      <c r="H14">
        <v>0</v>
      </c>
      <c r="I14">
        <v>1.3</v>
      </c>
      <c r="J14">
        <v>1</v>
      </c>
      <c r="K14">
        <v>0</v>
      </c>
    </row>
    <row r="15" spans="1:11" x14ac:dyDescent="0.3">
      <c r="A15" s="5">
        <v>14</v>
      </c>
      <c r="B15" s="6" t="s">
        <v>35</v>
      </c>
      <c r="C15">
        <v>2</v>
      </c>
      <c r="D15">
        <v>3</v>
      </c>
      <c r="E15">
        <v>5</v>
      </c>
      <c r="F15">
        <v>5</v>
      </c>
      <c r="G15">
        <v>5</v>
      </c>
      <c r="H15">
        <v>0</v>
      </c>
      <c r="I15">
        <v>71.5</v>
      </c>
      <c r="J15">
        <v>1</v>
      </c>
      <c r="K15">
        <v>0</v>
      </c>
    </row>
    <row r="16" spans="1:11" ht="28.8" x14ac:dyDescent="0.3">
      <c r="A16" s="5">
        <v>15</v>
      </c>
      <c r="B16" s="6" t="s">
        <v>37</v>
      </c>
      <c r="C16">
        <v>1</v>
      </c>
      <c r="D16">
        <v>4</v>
      </c>
      <c r="E16">
        <v>4</v>
      </c>
      <c r="F16">
        <v>5</v>
      </c>
      <c r="G16">
        <v>5</v>
      </c>
      <c r="H16">
        <v>0</v>
      </c>
      <c r="I16">
        <v>62.400000000000006</v>
      </c>
      <c r="J16">
        <v>1</v>
      </c>
      <c r="K16">
        <v>0</v>
      </c>
    </row>
    <row r="17" spans="1:11" x14ac:dyDescent="0.3">
      <c r="A17" s="5">
        <v>16</v>
      </c>
      <c r="B17" s="6" t="s">
        <v>39</v>
      </c>
      <c r="C17">
        <v>2</v>
      </c>
      <c r="D17">
        <v>3</v>
      </c>
      <c r="E17">
        <v>4</v>
      </c>
      <c r="F17">
        <v>5</v>
      </c>
      <c r="G17">
        <v>5</v>
      </c>
      <c r="H17">
        <v>0</v>
      </c>
      <c r="I17">
        <v>37.700000000000003</v>
      </c>
      <c r="J17">
        <v>1</v>
      </c>
      <c r="K17">
        <v>0</v>
      </c>
    </row>
    <row r="18" spans="1:11" x14ac:dyDescent="0.3">
      <c r="A18" s="5">
        <v>17</v>
      </c>
      <c r="B18" s="6" t="s">
        <v>45</v>
      </c>
      <c r="C18">
        <v>2</v>
      </c>
      <c r="D18">
        <v>5</v>
      </c>
      <c r="E18">
        <v>4</v>
      </c>
      <c r="F18">
        <v>5</v>
      </c>
      <c r="G18">
        <v>5</v>
      </c>
      <c r="H18">
        <v>1</v>
      </c>
      <c r="I18">
        <v>36.4</v>
      </c>
      <c r="J18">
        <v>1</v>
      </c>
      <c r="K18">
        <v>0</v>
      </c>
    </row>
    <row r="19" spans="1:11" x14ac:dyDescent="0.3">
      <c r="A19" s="5">
        <v>18</v>
      </c>
      <c r="B19" s="6" t="s">
        <v>395</v>
      </c>
      <c r="C19">
        <v>2</v>
      </c>
      <c r="D19">
        <v>4</v>
      </c>
      <c r="E19">
        <v>4</v>
      </c>
      <c r="F19">
        <v>5</v>
      </c>
      <c r="G19">
        <v>5</v>
      </c>
      <c r="H19">
        <v>0</v>
      </c>
      <c r="I19">
        <v>10.4</v>
      </c>
      <c r="J19">
        <v>1</v>
      </c>
      <c r="K19">
        <v>0</v>
      </c>
    </row>
    <row r="20" spans="1:11" x14ac:dyDescent="0.3">
      <c r="A20" s="5">
        <v>19</v>
      </c>
      <c r="B20" s="6" t="s">
        <v>396</v>
      </c>
      <c r="C20">
        <v>2</v>
      </c>
      <c r="D20">
        <v>3</v>
      </c>
      <c r="E20">
        <v>4</v>
      </c>
      <c r="F20">
        <v>4</v>
      </c>
      <c r="G20">
        <v>4</v>
      </c>
      <c r="H20">
        <v>1</v>
      </c>
      <c r="I20">
        <v>68.900000000000006</v>
      </c>
      <c r="J20">
        <v>1</v>
      </c>
      <c r="K20">
        <v>0</v>
      </c>
    </row>
    <row r="21" spans="1:11" ht="28.8" x14ac:dyDescent="0.3">
      <c r="A21" s="5">
        <v>20</v>
      </c>
      <c r="B21" s="6" t="s">
        <v>277</v>
      </c>
      <c r="C21">
        <v>2</v>
      </c>
      <c r="D21">
        <v>3</v>
      </c>
      <c r="E21">
        <v>4</v>
      </c>
      <c r="F21">
        <v>4</v>
      </c>
      <c r="G21">
        <v>4</v>
      </c>
      <c r="H21">
        <v>0</v>
      </c>
      <c r="I21">
        <v>48.1</v>
      </c>
      <c r="J21">
        <v>1</v>
      </c>
      <c r="K21">
        <v>0</v>
      </c>
    </row>
    <row r="22" spans="1:11" x14ac:dyDescent="0.3">
      <c r="A22" s="5">
        <v>21</v>
      </c>
      <c r="B22" s="6" t="s">
        <v>61</v>
      </c>
      <c r="C22">
        <v>2</v>
      </c>
      <c r="D22">
        <v>3</v>
      </c>
      <c r="E22">
        <v>4</v>
      </c>
      <c r="F22">
        <v>5</v>
      </c>
      <c r="G22">
        <v>5</v>
      </c>
      <c r="H22">
        <v>0</v>
      </c>
      <c r="I22">
        <v>20.8</v>
      </c>
      <c r="J22">
        <v>1</v>
      </c>
      <c r="K22">
        <v>0</v>
      </c>
    </row>
    <row r="23" spans="1:11" x14ac:dyDescent="0.3">
      <c r="A23" s="5">
        <v>22</v>
      </c>
      <c r="B23" s="6" t="s">
        <v>397</v>
      </c>
      <c r="C23">
        <v>2</v>
      </c>
      <c r="D23">
        <v>3</v>
      </c>
      <c r="E23">
        <v>4</v>
      </c>
      <c r="F23">
        <v>5</v>
      </c>
      <c r="G23">
        <v>5</v>
      </c>
      <c r="H23">
        <v>0</v>
      </c>
      <c r="I23">
        <v>107.9</v>
      </c>
      <c r="J23">
        <v>1</v>
      </c>
      <c r="K23">
        <v>0</v>
      </c>
    </row>
    <row r="24" spans="1:11" x14ac:dyDescent="0.3">
      <c r="A24" s="5">
        <v>23</v>
      </c>
      <c r="B24" s="6" t="s">
        <v>398</v>
      </c>
      <c r="C24">
        <v>2</v>
      </c>
      <c r="D24">
        <v>4</v>
      </c>
      <c r="E24">
        <v>4</v>
      </c>
      <c r="F24">
        <v>5</v>
      </c>
      <c r="G24">
        <v>5</v>
      </c>
      <c r="H24">
        <v>0</v>
      </c>
      <c r="I24">
        <v>31.200000000000003</v>
      </c>
      <c r="J24">
        <v>1</v>
      </c>
      <c r="K24">
        <v>0</v>
      </c>
    </row>
    <row r="25" spans="1:11" x14ac:dyDescent="0.3">
      <c r="A25" s="5">
        <v>24</v>
      </c>
      <c r="B25" s="6" t="s">
        <v>65</v>
      </c>
      <c r="C25">
        <v>2</v>
      </c>
      <c r="D25">
        <v>5</v>
      </c>
      <c r="E25">
        <v>5</v>
      </c>
      <c r="F25">
        <v>4</v>
      </c>
      <c r="G25">
        <v>4</v>
      </c>
      <c r="H25">
        <v>0</v>
      </c>
      <c r="I25">
        <v>11.700000000000001</v>
      </c>
      <c r="J25">
        <v>1</v>
      </c>
      <c r="K25">
        <v>0</v>
      </c>
    </row>
    <row r="26" spans="1:11" x14ac:dyDescent="0.3">
      <c r="A26" s="5">
        <v>25</v>
      </c>
      <c r="B26" s="6" t="s">
        <v>399</v>
      </c>
      <c r="C26">
        <v>2</v>
      </c>
      <c r="D26">
        <v>4</v>
      </c>
      <c r="E26">
        <v>5</v>
      </c>
      <c r="F26">
        <v>5</v>
      </c>
      <c r="G26">
        <v>5</v>
      </c>
      <c r="H26">
        <v>0</v>
      </c>
      <c r="I26">
        <v>31.200000000000003</v>
      </c>
      <c r="J26">
        <v>1</v>
      </c>
      <c r="K26">
        <v>0</v>
      </c>
    </row>
    <row r="27" spans="1:11" x14ac:dyDescent="0.3">
      <c r="A27" s="5">
        <v>26</v>
      </c>
      <c r="B27" s="6" t="s">
        <v>69</v>
      </c>
      <c r="C27">
        <v>1</v>
      </c>
      <c r="D27">
        <v>3</v>
      </c>
      <c r="E27">
        <v>4</v>
      </c>
      <c r="F27">
        <v>4</v>
      </c>
      <c r="G27">
        <v>3</v>
      </c>
      <c r="H27">
        <v>1</v>
      </c>
      <c r="I27">
        <v>9.1</v>
      </c>
      <c r="J27">
        <v>1</v>
      </c>
      <c r="K27">
        <v>0</v>
      </c>
    </row>
    <row r="28" spans="1:11" x14ac:dyDescent="0.3">
      <c r="A28" s="5">
        <v>27</v>
      </c>
      <c r="B28" s="6" t="s">
        <v>71</v>
      </c>
      <c r="C28">
        <v>2</v>
      </c>
      <c r="D28">
        <v>3</v>
      </c>
      <c r="E28">
        <v>4</v>
      </c>
      <c r="F28">
        <v>4</v>
      </c>
      <c r="G28">
        <v>5</v>
      </c>
      <c r="H28">
        <v>0</v>
      </c>
      <c r="I28">
        <v>80.600000000000009</v>
      </c>
      <c r="J28">
        <v>1</v>
      </c>
      <c r="K28">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K28"/>
  <sheetViews>
    <sheetView topLeftCell="C10" workbookViewId="0">
      <selection activeCell="A28" sqref="A28"/>
    </sheetView>
  </sheetViews>
  <sheetFormatPr defaultRowHeight="14.4" x14ac:dyDescent="0.3"/>
  <cols>
    <col min="1" max="1" width="12.44140625" customWidth="1"/>
    <col min="2" max="2" width="105.44140625" customWidth="1"/>
    <col min="3" max="3" width="16.6640625" customWidth="1"/>
    <col min="4" max="4" width="15.5546875" customWidth="1"/>
    <col min="5" max="5" width="18.88671875" customWidth="1"/>
    <col min="6" max="6" width="10.6640625" customWidth="1"/>
    <col min="7" max="7" width="16.109375" customWidth="1"/>
    <col min="9" max="9" width="24.44140625" customWidth="1"/>
    <col min="10" max="10" width="13.33203125" customWidth="1"/>
  </cols>
  <sheetData>
    <row r="1" spans="1:11" x14ac:dyDescent="0.3">
      <c r="A1" s="1" t="s">
        <v>0</v>
      </c>
      <c r="B1" s="1" t="s">
        <v>1</v>
      </c>
      <c r="C1" s="1" t="s">
        <v>2</v>
      </c>
      <c r="D1" s="1" t="s">
        <v>3</v>
      </c>
      <c r="E1" s="1" t="s">
        <v>4</v>
      </c>
      <c r="F1" s="1" t="s">
        <v>5</v>
      </c>
      <c r="G1" s="1" t="s">
        <v>6</v>
      </c>
      <c r="H1" s="1" t="s">
        <v>7</v>
      </c>
      <c r="I1" s="1" t="s">
        <v>8</v>
      </c>
      <c r="J1" s="1" t="s">
        <v>10</v>
      </c>
      <c r="K1" s="1" t="s">
        <v>9</v>
      </c>
    </row>
    <row r="2" spans="1:11" ht="43.2" x14ac:dyDescent="0.3">
      <c r="A2" s="5">
        <v>1</v>
      </c>
      <c r="B2" s="6" t="s">
        <v>16</v>
      </c>
      <c r="C2">
        <v>1</v>
      </c>
      <c r="D2">
        <v>5</v>
      </c>
      <c r="E2">
        <v>4</v>
      </c>
      <c r="F2">
        <v>4</v>
      </c>
      <c r="G2">
        <v>4</v>
      </c>
      <c r="H2">
        <v>1</v>
      </c>
      <c r="I2">
        <v>41.6</v>
      </c>
      <c r="J2">
        <v>1</v>
      </c>
      <c r="K2">
        <v>0</v>
      </c>
    </row>
    <row r="3" spans="1:11" x14ac:dyDescent="0.3">
      <c r="A3" s="5">
        <v>2</v>
      </c>
      <c r="B3" s="6" t="s">
        <v>389</v>
      </c>
      <c r="C3">
        <v>1</v>
      </c>
      <c r="D3">
        <v>5</v>
      </c>
      <c r="E3">
        <v>3</v>
      </c>
      <c r="F3">
        <v>1</v>
      </c>
      <c r="G3">
        <v>3</v>
      </c>
      <c r="H3">
        <v>1</v>
      </c>
      <c r="I3">
        <v>16.900000000000002</v>
      </c>
      <c r="J3">
        <v>1</v>
      </c>
      <c r="K3">
        <v>0</v>
      </c>
    </row>
    <row r="4" spans="1:11" x14ac:dyDescent="0.3">
      <c r="A4" s="5">
        <v>3</v>
      </c>
      <c r="B4" s="6" t="s">
        <v>18</v>
      </c>
      <c r="C4">
        <v>0</v>
      </c>
      <c r="D4">
        <v>5</v>
      </c>
      <c r="E4">
        <v>3</v>
      </c>
      <c r="F4">
        <v>2</v>
      </c>
      <c r="G4">
        <v>2</v>
      </c>
      <c r="H4">
        <v>1</v>
      </c>
      <c r="I4">
        <v>52</v>
      </c>
      <c r="J4">
        <v>1</v>
      </c>
      <c r="K4">
        <v>0</v>
      </c>
    </row>
    <row r="5" spans="1:11" x14ac:dyDescent="0.3">
      <c r="A5" s="5">
        <v>4</v>
      </c>
      <c r="B5" s="6" t="s">
        <v>390</v>
      </c>
      <c r="C5">
        <v>0</v>
      </c>
      <c r="D5">
        <v>5</v>
      </c>
      <c r="E5">
        <v>3</v>
      </c>
      <c r="F5">
        <v>1</v>
      </c>
      <c r="G5">
        <v>1</v>
      </c>
      <c r="H5">
        <v>1</v>
      </c>
      <c r="I5">
        <v>14.3</v>
      </c>
      <c r="J5">
        <v>1</v>
      </c>
      <c r="K5">
        <v>0</v>
      </c>
    </row>
    <row r="6" spans="1:11" ht="28.8" x14ac:dyDescent="0.3">
      <c r="A6" s="5">
        <v>5</v>
      </c>
      <c r="B6" s="6" t="s">
        <v>391</v>
      </c>
      <c r="C6">
        <v>1</v>
      </c>
      <c r="D6">
        <v>5</v>
      </c>
      <c r="E6">
        <v>3</v>
      </c>
      <c r="F6">
        <v>2</v>
      </c>
      <c r="G6">
        <v>2</v>
      </c>
      <c r="H6">
        <v>0</v>
      </c>
      <c r="I6">
        <v>20.8</v>
      </c>
      <c r="J6">
        <v>1</v>
      </c>
      <c r="K6">
        <v>0</v>
      </c>
    </row>
    <row r="7" spans="1:11" ht="43.2" x14ac:dyDescent="0.3">
      <c r="A7" s="5">
        <v>6</v>
      </c>
      <c r="B7" s="6" t="s">
        <v>22</v>
      </c>
      <c r="C7">
        <v>0</v>
      </c>
      <c r="D7">
        <v>5</v>
      </c>
      <c r="E7">
        <v>1</v>
      </c>
      <c r="F7">
        <v>1</v>
      </c>
      <c r="G7">
        <v>1</v>
      </c>
      <c r="H7">
        <v>1</v>
      </c>
      <c r="I7">
        <v>13</v>
      </c>
      <c r="J7">
        <v>1</v>
      </c>
      <c r="K7">
        <v>0</v>
      </c>
    </row>
    <row r="8" spans="1:11" ht="28.8" x14ac:dyDescent="0.3">
      <c r="A8" s="5">
        <v>7</v>
      </c>
      <c r="B8" s="6" t="s">
        <v>392</v>
      </c>
      <c r="C8">
        <v>0</v>
      </c>
      <c r="D8">
        <v>5</v>
      </c>
      <c r="E8">
        <v>1</v>
      </c>
      <c r="F8">
        <v>2</v>
      </c>
      <c r="G8">
        <v>1</v>
      </c>
      <c r="H8">
        <v>1</v>
      </c>
      <c r="I8">
        <v>14.3</v>
      </c>
      <c r="J8">
        <v>1</v>
      </c>
      <c r="K8">
        <v>0</v>
      </c>
    </row>
    <row r="9" spans="1:11" x14ac:dyDescent="0.3">
      <c r="A9" s="5">
        <v>8</v>
      </c>
      <c r="B9" s="6" t="s">
        <v>393</v>
      </c>
      <c r="C9">
        <v>1</v>
      </c>
      <c r="D9">
        <v>5</v>
      </c>
      <c r="E9">
        <v>1</v>
      </c>
      <c r="F9">
        <v>2</v>
      </c>
      <c r="G9">
        <v>2</v>
      </c>
      <c r="H9">
        <v>1</v>
      </c>
      <c r="I9">
        <v>35.1</v>
      </c>
      <c r="J9">
        <v>1</v>
      </c>
      <c r="K9">
        <v>0</v>
      </c>
    </row>
    <row r="10" spans="1:11" ht="28.8" x14ac:dyDescent="0.3">
      <c r="A10" s="5">
        <v>9</v>
      </c>
      <c r="B10" s="6" t="s">
        <v>26</v>
      </c>
      <c r="C10">
        <v>1</v>
      </c>
      <c r="D10">
        <v>5</v>
      </c>
      <c r="E10">
        <v>1</v>
      </c>
      <c r="F10">
        <v>2</v>
      </c>
      <c r="G10">
        <v>2</v>
      </c>
      <c r="H10">
        <v>1</v>
      </c>
      <c r="I10">
        <v>3.9000000000000004</v>
      </c>
      <c r="J10">
        <v>1</v>
      </c>
      <c r="K10">
        <v>0</v>
      </c>
    </row>
    <row r="11" spans="1:11" ht="43.2" x14ac:dyDescent="0.3">
      <c r="A11" s="5">
        <v>10</v>
      </c>
      <c r="B11" s="6" t="s">
        <v>28</v>
      </c>
      <c r="C11">
        <v>1</v>
      </c>
      <c r="D11">
        <v>5</v>
      </c>
      <c r="E11">
        <v>2</v>
      </c>
      <c r="F11">
        <v>1</v>
      </c>
      <c r="G11">
        <v>1</v>
      </c>
      <c r="H11">
        <v>1</v>
      </c>
      <c r="I11">
        <v>62.400000000000006</v>
      </c>
      <c r="J11">
        <v>1</v>
      </c>
      <c r="K11">
        <v>0</v>
      </c>
    </row>
    <row r="12" spans="1:11" x14ac:dyDescent="0.3">
      <c r="A12" s="5">
        <v>11</v>
      </c>
      <c r="B12" s="6" t="s">
        <v>30</v>
      </c>
      <c r="C12">
        <v>1</v>
      </c>
      <c r="D12">
        <v>5</v>
      </c>
      <c r="E12">
        <v>1</v>
      </c>
      <c r="F12">
        <v>1</v>
      </c>
      <c r="G12">
        <v>1</v>
      </c>
      <c r="H12">
        <v>1</v>
      </c>
      <c r="I12">
        <v>11.700000000000001</v>
      </c>
      <c r="J12">
        <v>1</v>
      </c>
      <c r="K12">
        <v>0</v>
      </c>
    </row>
    <row r="13" spans="1:11" x14ac:dyDescent="0.3">
      <c r="A13" s="5">
        <v>12</v>
      </c>
      <c r="B13" s="6" t="s">
        <v>32</v>
      </c>
      <c r="C13">
        <v>1</v>
      </c>
      <c r="D13">
        <v>5</v>
      </c>
      <c r="E13">
        <v>2</v>
      </c>
      <c r="F13">
        <v>2</v>
      </c>
      <c r="G13">
        <v>3</v>
      </c>
      <c r="H13">
        <v>0</v>
      </c>
      <c r="I13">
        <v>24.7</v>
      </c>
      <c r="J13">
        <v>1</v>
      </c>
      <c r="K13">
        <v>0</v>
      </c>
    </row>
    <row r="14" spans="1:11" x14ac:dyDescent="0.3">
      <c r="A14" s="5">
        <v>13</v>
      </c>
      <c r="B14" s="6" t="s">
        <v>394</v>
      </c>
      <c r="C14">
        <v>1</v>
      </c>
      <c r="D14">
        <v>5</v>
      </c>
      <c r="E14">
        <v>2</v>
      </c>
      <c r="F14">
        <v>4</v>
      </c>
      <c r="G14">
        <v>5</v>
      </c>
      <c r="H14">
        <v>1</v>
      </c>
      <c r="I14">
        <v>9.1</v>
      </c>
      <c r="J14">
        <v>1</v>
      </c>
      <c r="K14">
        <v>0</v>
      </c>
    </row>
    <row r="15" spans="1:11" x14ac:dyDescent="0.3">
      <c r="A15" s="5">
        <v>14</v>
      </c>
      <c r="B15" s="6" t="s">
        <v>35</v>
      </c>
      <c r="C15">
        <v>1</v>
      </c>
      <c r="D15">
        <v>5</v>
      </c>
      <c r="E15">
        <v>1</v>
      </c>
      <c r="F15">
        <v>2</v>
      </c>
      <c r="G15">
        <v>4</v>
      </c>
      <c r="H15">
        <v>0</v>
      </c>
      <c r="I15">
        <v>1.3</v>
      </c>
      <c r="J15">
        <v>1</v>
      </c>
      <c r="K15">
        <v>0</v>
      </c>
    </row>
    <row r="16" spans="1:11" ht="28.8" x14ac:dyDescent="0.3">
      <c r="A16" s="5">
        <v>15</v>
      </c>
      <c r="B16" s="6" t="s">
        <v>37</v>
      </c>
      <c r="C16">
        <v>2</v>
      </c>
      <c r="D16">
        <v>5</v>
      </c>
      <c r="E16">
        <v>2</v>
      </c>
      <c r="F16">
        <v>2</v>
      </c>
      <c r="G16">
        <v>4</v>
      </c>
      <c r="H16">
        <v>0</v>
      </c>
      <c r="I16">
        <v>16.900000000000002</v>
      </c>
      <c r="J16">
        <v>1</v>
      </c>
      <c r="K16">
        <v>0</v>
      </c>
    </row>
    <row r="17" spans="1:11" x14ac:dyDescent="0.3">
      <c r="A17" s="5">
        <v>16</v>
      </c>
      <c r="B17" s="6" t="s">
        <v>39</v>
      </c>
      <c r="C17">
        <v>1</v>
      </c>
      <c r="D17">
        <v>5</v>
      </c>
      <c r="E17">
        <v>2</v>
      </c>
      <c r="F17">
        <v>2</v>
      </c>
      <c r="G17">
        <v>2</v>
      </c>
      <c r="H17">
        <v>1</v>
      </c>
      <c r="I17">
        <v>36.4</v>
      </c>
      <c r="J17">
        <v>1</v>
      </c>
      <c r="K17">
        <v>0</v>
      </c>
    </row>
    <row r="18" spans="1:11" x14ac:dyDescent="0.3">
      <c r="A18" s="5">
        <v>17</v>
      </c>
      <c r="B18" s="6" t="s">
        <v>45</v>
      </c>
      <c r="C18" t="s">
        <v>58</v>
      </c>
      <c r="D18" t="s">
        <v>58</v>
      </c>
      <c r="E18" t="s">
        <v>58</v>
      </c>
      <c r="F18" t="s">
        <v>58</v>
      </c>
      <c r="G18" t="s">
        <v>58</v>
      </c>
      <c r="H18" t="s">
        <v>58</v>
      </c>
      <c r="I18" t="s">
        <v>58</v>
      </c>
      <c r="J18">
        <v>1</v>
      </c>
      <c r="K18">
        <v>0</v>
      </c>
    </row>
    <row r="19" spans="1:11" x14ac:dyDescent="0.3">
      <c r="A19" s="5">
        <v>18</v>
      </c>
      <c r="B19" s="6" t="s">
        <v>395</v>
      </c>
      <c r="C19" t="s">
        <v>58</v>
      </c>
      <c r="D19" t="s">
        <v>58</v>
      </c>
      <c r="E19" t="s">
        <v>58</v>
      </c>
      <c r="F19" t="s">
        <v>58</v>
      </c>
      <c r="G19" t="s">
        <v>58</v>
      </c>
      <c r="H19" t="s">
        <v>58</v>
      </c>
      <c r="I19" t="s">
        <v>58</v>
      </c>
      <c r="J19">
        <v>1</v>
      </c>
      <c r="K19">
        <v>0</v>
      </c>
    </row>
    <row r="20" spans="1:11" x14ac:dyDescent="0.3">
      <c r="A20" s="5">
        <v>19</v>
      </c>
      <c r="B20" s="6" t="s">
        <v>396</v>
      </c>
      <c r="C20" t="s">
        <v>58</v>
      </c>
      <c r="D20" t="s">
        <v>58</v>
      </c>
      <c r="E20" t="s">
        <v>58</v>
      </c>
      <c r="F20" t="s">
        <v>58</v>
      </c>
      <c r="G20" t="s">
        <v>58</v>
      </c>
      <c r="H20" t="s">
        <v>58</v>
      </c>
      <c r="I20" t="s">
        <v>58</v>
      </c>
      <c r="J20">
        <v>1</v>
      </c>
      <c r="K20">
        <v>0</v>
      </c>
    </row>
    <row r="21" spans="1:11" ht="28.8" x14ac:dyDescent="0.3">
      <c r="A21" s="5">
        <v>20</v>
      </c>
      <c r="B21" s="6" t="s">
        <v>277</v>
      </c>
      <c r="C21" t="s">
        <v>58</v>
      </c>
      <c r="D21" t="s">
        <v>58</v>
      </c>
      <c r="E21" t="s">
        <v>58</v>
      </c>
      <c r="F21" t="s">
        <v>58</v>
      </c>
      <c r="G21" t="s">
        <v>58</v>
      </c>
      <c r="H21" t="s">
        <v>58</v>
      </c>
      <c r="I21" t="s">
        <v>58</v>
      </c>
      <c r="J21">
        <v>1</v>
      </c>
      <c r="K21">
        <v>0</v>
      </c>
    </row>
    <row r="22" spans="1:11" x14ac:dyDescent="0.3">
      <c r="A22" s="5">
        <v>21</v>
      </c>
      <c r="B22" s="6" t="s">
        <v>61</v>
      </c>
      <c r="C22" t="s">
        <v>58</v>
      </c>
      <c r="D22" t="s">
        <v>58</v>
      </c>
      <c r="E22" t="s">
        <v>58</v>
      </c>
      <c r="F22" t="s">
        <v>58</v>
      </c>
      <c r="G22" t="s">
        <v>58</v>
      </c>
      <c r="H22" t="s">
        <v>58</v>
      </c>
      <c r="I22" t="s">
        <v>58</v>
      </c>
      <c r="J22">
        <v>1</v>
      </c>
      <c r="K22">
        <v>0</v>
      </c>
    </row>
    <row r="23" spans="1:11" x14ac:dyDescent="0.3">
      <c r="A23" s="5">
        <v>22</v>
      </c>
      <c r="B23" s="6" t="s">
        <v>397</v>
      </c>
      <c r="C23" t="s">
        <v>58</v>
      </c>
      <c r="D23" t="s">
        <v>58</v>
      </c>
      <c r="E23" t="s">
        <v>58</v>
      </c>
      <c r="F23" t="s">
        <v>58</v>
      </c>
      <c r="G23" t="s">
        <v>58</v>
      </c>
      <c r="H23" t="s">
        <v>58</v>
      </c>
      <c r="I23" t="s">
        <v>58</v>
      </c>
      <c r="J23">
        <v>1</v>
      </c>
      <c r="K23">
        <v>0</v>
      </c>
    </row>
    <row r="24" spans="1:11" x14ac:dyDescent="0.3">
      <c r="A24" s="5">
        <v>23</v>
      </c>
      <c r="B24" s="6" t="s">
        <v>398</v>
      </c>
      <c r="C24" t="s">
        <v>58</v>
      </c>
      <c r="D24" t="s">
        <v>58</v>
      </c>
      <c r="E24" t="s">
        <v>58</v>
      </c>
      <c r="F24" t="s">
        <v>58</v>
      </c>
      <c r="G24" t="s">
        <v>58</v>
      </c>
      <c r="H24" t="s">
        <v>58</v>
      </c>
      <c r="I24" t="s">
        <v>58</v>
      </c>
      <c r="J24">
        <v>1</v>
      </c>
      <c r="K24">
        <v>0</v>
      </c>
    </row>
    <row r="25" spans="1:11" x14ac:dyDescent="0.3">
      <c r="A25" s="5">
        <v>24</v>
      </c>
      <c r="B25" s="6" t="s">
        <v>65</v>
      </c>
      <c r="C25" t="s">
        <v>58</v>
      </c>
      <c r="D25" t="s">
        <v>58</v>
      </c>
      <c r="E25" t="s">
        <v>58</v>
      </c>
      <c r="F25" t="s">
        <v>58</v>
      </c>
      <c r="G25" t="s">
        <v>58</v>
      </c>
      <c r="H25" t="s">
        <v>58</v>
      </c>
      <c r="I25" t="s">
        <v>58</v>
      </c>
      <c r="J25">
        <v>1</v>
      </c>
      <c r="K25">
        <v>0</v>
      </c>
    </row>
    <row r="26" spans="1:11" x14ac:dyDescent="0.3">
      <c r="A26" s="5">
        <v>25</v>
      </c>
      <c r="B26" s="6" t="s">
        <v>399</v>
      </c>
      <c r="C26" t="s">
        <v>58</v>
      </c>
      <c r="D26" t="s">
        <v>58</v>
      </c>
      <c r="E26" t="s">
        <v>58</v>
      </c>
      <c r="F26" t="s">
        <v>58</v>
      </c>
      <c r="G26" t="s">
        <v>58</v>
      </c>
      <c r="H26" t="s">
        <v>58</v>
      </c>
      <c r="I26" t="s">
        <v>58</v>
      </c>
      <c r="J26">
        <v>1</v>
      </c>
      <c r="K26">
        <v>0</v>
      </c>
    </row>
    <row r="27" spans="1:11" x14ac:dyDescent="0.3">
      <c r="A27" s="5">
        <v>26</v>
      </c>
      <c r="B27" s="6" t="s">
        <v>69</v>
      </c>
      <c r="C27" t="s">
        <v>58</v>
      </c>
      <c r="D27" t="s">
        <v>58</v>
      </c>
      <c r="E27" t="s">
        <v>58</v>
      </c>
      <c r="F27" t="s">
        <v>58</v>
      </c>
      <c r="G27" t="s">
        <v>58</v>
      </c>
      <c r="H27" t="s">
        <v>58</v>
      </c>
      <c r="I27" t="s">
        <v>58</v>
      </c>
      <c r="J27">
        <v>1</v>
      </c>
      <c r="K27">
        <v>0</v>
      </c>
    </row>
    <row r="28" spans="1:11" x14ac:dyDescent="0.3">
      <c r="A28" s="5">
        <v>27</v>
      </c>
      <c r="B28" s="6" t="s">
        <v>71</v>
      </c>
      <c r="C28" t="s">
        <v>58</v>
      </c>
      <c r="D28" t="s">
        <v>58</v>
      </c>
      <c r="E28" t="s">
        <v>58</v>
      </c>
      <c r="F28" t="s">
        <v>58</v>
      </c>
      <c r="G28" t="s">
        <v>58</v>
      </c>
      <c r="H28" t="s">
        <v>58</v>
      </c>
      <c r="I28" t="s">
        <v>58</v>
      </c>
      <c r="J28">
        <v>1</v>
      </c>
      <c r="K28">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06F9F-AA39-446B-A769-679536F3DD0E}">
  <sheetPr codeName="Sheet7"/>
  <dimension ref="A1:S32"/>
  <sheetViews>
    <sheetView zoomScale="50" zoomScaleNormal="50" workbookViewId="0">
      <selection activeCell="C6" sqref="C6"/>
    </sheetView>
  </sheetViews>
  <sheetFormatPr defaultRowHeight="14.4" x14ac:dyDescent="0.3"/>
  <cols>
    <col min="1" max="1" width="14.77734375" customWidth="1"/>
    <col min="2" max="2" width="20" customWidth="1"/>
    <col min="3" max="3" width="66.5546875" customWidth="1"/>
    <col min="4" max="4" width="113.6640625" customWidth="1"/>
    <col min="5" max="5" width="76" customWidth="1"/>
    <col min="6" max="6" width="56.6640625" customWidth="1"/>
    <col min="7" max="7" width="35.109375" customWidth="1"/>
    <col min="8" max="8" width="40.44140625" customWidth="1"/>
    <col min="9" max="9" width="38.5546875" customWidth="1"/>
    <col min="10" max="10" width="51.109375" customWidth="1"/>
    <col min="11" max="11" width="82.88671875" customWidth="1"/>
    <col min="12" max="12" width="15.109375" customWidth="1"/>
    <col min="13" max="13" width="32" customWidth="1"/>
    <col min="14" max="14" width="19.109375" customWidth="1"/>
    <col min="15" max="15" width="24.88671875" customWidth="1"/>
    <col min="16" max="16" width="50" customWidth="1"/>
    <col min="17" max="17" width="54.21875" customWidth="1"/>
    <col min="18" max="18" width="50.21875" customWidth="1"/>
    <col min="19" max="19" width="43.5546875" customWidth="1"/>
  </cols>
  <sheetData>
    <row r="1" spans="1:19" s="1" customFormat="1" ht="30.6" customHeight="1" x14ac:dyDescent="0.3">
      <c r="A1" s="8" t="s">
        <v>0</v>
      </c>
      <c r="B1" s="8" t="s">
        <v>73</v>
      </c>
      <c r="C1" s="8" t="s">
        <v>1</v>
      </c>
      <c r="D1" s="8" t="s">
        <v>461</v>
      </c>
      <c r="E1" s="8" t="s">
        <v>462</v>
      </c>
      <c r="F1" s="8" t="s">
        <v>278</v>
      </c>
      <c r="G1" s="8" t="s">
        <v>306</v>
      </c>
      <c r="H1" s="8" t="s">
        <v>334</v>
      </c>
      <c r="I1" s="8" t="s">
        <v>361</v>
      </c>
      <c r="J1" s="1" t="s">
        <v>401</v>
      </c>
      <c r="K1" s="1" t="s">
        <v>470</v>
      </c>
      <c r="L1" s="1" t="s">
        <v>459</v>
      </c>
      <c r="M1" s="1" t="s">
        <v>460</v>
      </c>
      <c r="N1" s="1" t="s">
        <v>463</v>
      </c>
      <c r="O1" s="1" t="s">
        <v>464</v>
      </c>
      <c r="P1" s="1" t="s">
        <v>465</v>
      </c>
      <c r="Q1" s="1" t="s">
        <v>467</v>
      </c>
      <c r="R1" s="1" t="s">
        <v>468</v>
      </c>
      <c r="S1" s="1" t="s">
        <v>469</v>
      </c>
    </row>
    <row r="2" spans="1:19" ht="73.8" customHeight="1" x14ac:dyDescent="0.3">
      <c r="A2" s="6">
        <v>1</v>
      </c>
      <c r="B2" s="6" t="s">
        <v>74</v>
      </c>
      <c r="C2" s="6" t="s">
        <v>402</v>
      </c>
      <c r="D2" s="6" t="s">
        <v>400</v>
      </c>
      <c r="E2" s="6" t="s">
        <v>41</v>
      </c>
      <c r="F2" s="6" t="s">
        <v>279</v>
      </c>
      <c r="G2" s="6" t="s">
        <v>307</v>
      </c>
      <c r="H2" s="6" t="s">
        <v>335</v>
      </c>
      <c r="I2" s="6" t="s">
        <v>362</v>
      </c>
      <c r="J2" s="3" t="s">
        <v>403</v>
      </c>
      <c r="K2" s="3" t="s">
        <v>430</v>
      </c>
      <c r="L2">
        <f>IF(LEN(TRIM(D2))=0,0,(LEN(TRIM(D2))-LEN(SUBSTITUTE(D2," ",""))+1)*1.3)</f>
        <v>41.6</v>
      </c>
      <c r="M2" s="9">
        <f>IF(LEN(TRIM(E2))=0, 0, (LEN(TRIM(E2))-LEN(SUBSTITUTE(E2," ",""))+1)*1.3)</f>
        <v>42.9</v>
      </c>
      <c r="N2">
        <f>IF(LEN(TRIM(F2))=0, 0, (LEN(TRIM(F2))-LEN(SUBSTITUTE(F2," ",""))+1)*1.3)</f>
        <v>135.20000000000002</v>
      </c>
      <c r="O2">
        <f>IF(LEN(TRIM(G2))=0, 0, (LEN(TRIM(G2))-LEN(SUBSTITUTE(G2," ",""))+1)*1.3)</f>
        <v>27.3</v>
      </c>
      <c r="P2" cm="1">
        <f t="array" ref="P2">CountTokensClean(H2)</f>
        <v>656</v>
      </c>
      <c r="Q2" cm="1">
        <f t="array" ref="Q2">CountTokensClean(I2)</f>
        <v>188</v>
      </c>
      <c r="R2" cm="1">
        <f t="array" ref="R2">CountTokensClean(J2)</f>
        <v>188</v>
      </c>
      <c r="S2" cm="1">
        <f t="array" ref="S2">CountTokensClean(K2)</f>
        <v>65</v>
      </c>
    </row>
    <row r="3" spans="1:19" ht="409.6" x14ac:dyDescent="0.3">
      <c r="A3" s="6">
        <v>2</v>
      </c>
      <c r="B3" s="6" t="s">
        <v>74</v>
      </c>
      <c r="C3" s="6" t="s">
        <v>389</v>
      </c>
      <c r="D3" s="6" t="s">
        <v>17</v>
      </c>
      <c r="E3" s="6" t="s">
        <v>50</v>
      </c>
      <c r="F3" s="6" t="s">
        <v>280</v>
      </c>
      <c r="G3" s="6" t="s">
        <v>308</v>
      </c>
      <c r="H3" s="6" t="s">
        <v>336</v>
      </c>
      <c r="I3" s="6" t="s">
        <v>363</v>
      </c>
      <c r="J3" s="6" t="s">
        <v>404</v>
      </c>
      <c r="K3" s="3" t="s">
        <v>431</v>
      </c>
      <c r="L3">
        <f t="shared" ref="L3:L18" si="0">IF(LEN(TRIM(D3))=0,0,(LEN(TRIM(D3))-LEN(SUBSTITUTE(D3," ",""))+1)*1.3)</f>
        <v>16.900000000000002</v>
      </c>
      <c r="M3" s="9">
        <f t="shared" ref="M3:M28" si="1">IF(LEN(TRIM(E3))=0, 0, (LEN(TRIM(E3))-LEN(SUBSTITUTE(E3," ",""))+1)*1.3)</f>
        <v>40.300000000000004</v>
      </c>
      <c r="N3">
        <f t="shared" ref="N3:N28" si="2">IF(LEN(TRIM(F3))=0, 0, (LEN(TRIM(F3))-LEN(SUBSTITUTE(F3," ",""))+1)*1.3)</f>
        <v>40.300000000000004</v>
      </c>
      <c r="O3">
        <f t="shared" ref="O3:O28" si="3">IF(LEN(TRIM(G3))=0, 0, (LEN(TRIM(G3))-LEN(SUBSTITUTE(G3," ",""))+1)*1.3)</f>
        <v>46.800000000000004</v>
      </c>
      <c r="P3" cm="1">
        <f t="array" ref="P3">CountTokensClean(H3)</f>
        <v>576</v>
      </c>
      <c r="Q3" cm="1">
        <f t="array" ref="Q3">CountTokensClean(I3)</f>
        <v>112</v>
      </c>
      <c r="R3" cm="1">
        <f t="array" ref="R3">CountTokensClean(J3)</f>
        <v>307</v>
      </c>
      <c r="S3" cm="1">
        <f t="array" ref="S3">CountTokensClean(K3)</f>
        <v>64</v>
      </c>
    </row>
    <row r="4" spans="1:19" ht="409.6" x14ac:dyDescent="0.3">
      <c r="A4" s="6">
        <v>3</v>
      </c>
      <c r="B4" s="6" t="s">
        <v>74</v>
      </c>
      <c r="C4" s="6" t="s">
        <v>18</v>
      </c>
      <c r="D4" s="6" t="s">
        <v>20</v>
      </c>
      <c r="E4" s="6" t="s">
        <v>51</v>
      </c>
      <c r="F4" s="6" t="s">
        <v>281</v>
      </c>
      <c r="G4" s="6" t="s">
        <v>309</v>
      </c>
      <c r="H4" s="6" t="s">
        <v>337</v>
      </c>
      <c r="I4" s="6" t="s">
        <v>364</v>
      </c>
      <c r="J4" s="3" t="s">
        <v>405</v>
      </c>
      <c r="K4" s="6" t="s">
        <v>432</v>
      </c>
      <c r="L4">
        <f t="shared" si="0"/>
        <v>52</v>
      </c>
      <c r="M4" s="9">
        <f t="shared" si="1"/>
        <v>15.600000000000001</v>
      </c>
      <c r="N4">
        <f t="shared" si="2"/>
        <v>78</v>
      </c>
      <c r="O4">
        <f t="shared" si="3"/>
        <v>20.8</v>
      </c>
      <c r="P4" cm="1">
        <f t="array" ref="P4">CountTokensClean(H4)</f>
        <v>373</v>
      </c>
      <c r="Q4" cm="1">
        <f t="array" ref="Q4">CountTokensClean(I4)</f>
        <v>142</v>
      </c>
      <c r="R4" cm="1">
        <f t="array" ref="R4">CountTokensClean(J4)</f>
        <v>291</v>
      </c>
      <c r="S4" cm="1">
        <f t="array" ref="S4">CountTokensClean(K4)</f>
        <v>25</v>
      </c>
    </row>
    <row r="5" spans="1:19" ht="409.6" x14ac:dyDescent="0.3">
      <c r="A5" s="6">
        <v>4</v>
      </c>
      <c r="B5" s="6" t="s">
        <v>74</v>
      </c>
      <c r="C5" s="6" t="s">
        <v>390</v>
      </c>
      <c r="D5" s="6" t="s">
        <v>19</v>
      </c>
      <c r="E5" s="6" t="s">
        <v>42</v>
      </c>
      <c r="F5" s="6" t="s">
        <v>282</v>
      </c>
      <c r="G5" s="6" t="s">
        <v>310</v>
      </c>
      <c r="H5" s="6" t="s">
        <v>338</v>
      </c>
      <c r="I5" s="6" t="s">
        <v>365</v>
      </c>
      <c r="J5" s="3" t="s">
        <v>406</v>
      </c>
      <c r="K5" s="3" t="s">
        <v>433</v>
      </c>
      <c r="L5">
        <f t="shared" si="0"/>
        <v>14.3</v>
      </c>
      <c r="M5" s="9">
        <f t="shared" si="1"/>
        <v>61.1</v>
      </c>
      <c r="N5">
        <f t="shared" si="2"/>
        <v>97.5</v>
      </c>
      <c r="O5">
        <f t="shared" si="3"/>
        <v>28.6</v>
      </c>
      <c r="P5" cm="1">
        <f t="array" ref="P5">CountTokensClean(H5)</f>
        <v>274</v>
      </c>
      <c r="Q5" cm="1">
        <f t="array" ref="Q5">CountTokensClean(I5)</f>
        <v>126</v>
      </c>
      <c r="R5" cm="1">
        <f t="array" ref="R5">CountTokensClean(J5)</f>
        <v>113</v>
      </c>
      <c r="S5" cm="1">
        <f t="array" ref="S5">CountTokensClean(K5)</f>
        <v>55</v>
      </c>
    </row>
    <row r="6" spans="1:19" ht="360" x14ac:dyDescent="0.3">
      <c r="A6" s="6">
        <v>5</v>
      </c>
      <c r="B6" s="6" t="s">
        <v>74</v>
      </c>
      <c r="C6" s="6" t="s">
        <v>391</v>
      </c>
      <c r="D6" s="6" t="s">
        <v>21</v>
      </c>
      <c r="E6" s="6" t="s">
        <v>52</v>
      </c>
      <c r="F6" s="6" t="s">
        <v>283</v>
      </c>
      <c r="G6" s="6" t="s">
        <v>311</v>
      </c>
      <c r="H6" s="6" t="s">
        <v>339</v>
      </c>
      <c r="I6" s="6" t="s">
        <v>366</v>
      </c>
      <c r="J6" s="3" t="s">
        <v>407</v>
      </c>
      <c r="K6" s="3" t="s">
        <v>434</v>
      </c>
      <c r="L6">
        <f t="shared" si="0"/>
        <v>20.8</v>
      </c>
      <c r="M6" s="9">
        <f t="shared" si="1"/>
        <v>32.5</v>
      </c>
      <c r="N6">
        <f t="shared" si="2"/>
        <v>83.2</v>
      </c>
      <c r="O6">
        <f t="shared" si="3"/>
        <v>23.400000000000002</v>
      </c>
      <c r="P6" cm="1">
        <f t="array" ref="P6">CountTokensClean(H6)</f>
        <v>144</v>
      </c>
      <c r="Q6" cm="1">
        <f t="array" ref="Q6">CountTokensClean(I6)</f>
        <v>53</v>
      </c>
      <c r="R6" cm="1">
        <f t="array" ref="R6">CountTokensClean(J6)</f>
        <v>208</v>
      </c>
      <c r="S6" cm="1">
        <f t="array" ref="S6">CountTokensClean(K6)</f>
        <v>47</v>
      </c>
    </row>
    <row r="7" spans="1:19" ht="409.6" x14ac:dyDescent="0.3">
      <c r="A7" s="6">
        <v>6</v>
      </c>
      <c r="B7" s="6" t="s">
        <v>74</v>
      </c>
      <c r="C7" s="6" t="s">
        <v>22</v>
      </c>
      <c r="D7" s="6" t="s">
        <v>23</v>
      </c>
      <c r="E7" s="6" t="s">
        <v>53</v>
      </c>
      <c r="F7" s="6" t="s">
        <v>284</v>
      </c>
      <c r="G7" s="6" t="s">
        <v>312</v>
      </c>
      <c r="H7" s="6" t="s">
        <v>340</v>
      </c>
      <c r="I7" s="6" t="s">
        <v>367</v>
      </c>
      <c r="J7" s="3" t="s">
        <v>408</v>
      </c>
      <c r="K7" s="3" t="s">
        <v>435</v>
      </c>
      <c r="L7">
        <f t="shared" si="0"/>
        <v>13</v>
      </c>
      <c r="M7" s="9">
        <f t="shared" si="1"/>
        <v>63.7</v>
      </c>
      <c r="N7">
        <f t="shared" si="2"/>
        <v>148.20000000000002</v>
      </c>
      <c r="O7">
        <f t="shared" si="3"/>
        <v>24.7</v>
      </c>
      <c r="P7" cm="1">
        <f t="array" ref="P7">CountTokensClean(H7)</f>
        <v>619</v>
      </c>
      <c r="Q7" cm="1">
        <f t="array" ref="Q7">CountTokensClean(I7)</f>
        <v>144</v>
      </c>
      <c r="R7" cm="1">
        <f t="array" ref="R7">CountTokensClean(J7)</f>
        <v>395</v>
      </c>
      <c r="S7" cm="1">
        <f t="array" ref="S7">CountTokensClean(K7)</f>
        <v>44</v>
      </c>
    </row>
    <row r="8" spans="1:19" ht="409.6" x14ac:dyDescent="0.3">
      <c r="A8" s="6">
        <v>7</v>
      </c>
      <c r="B8" s="6" t="s">
        <v>75</v>
      </c>
      <c r="C8" s="6" t="s">
        <v>392</v>
      </c>
      <c r="D8" s="6" t="s">
        <v>24</v>
      </c>
      <c r="E8" s="6" t="s">
        <v>49</v>
      </c>
      <c r="F8" s="6" t="s">
        <v>285</v>
      </c>
      <c r="G8" s="6" t="s">
        <v>313</v>
      </c>
      <c r="H8" s="6" t="s">
        <v>341</v>
      </c>
      <c r="I8" s="6" t="s">
        <v>368</v>
      </c>
      <c r="J8" s="3" t="s">
        <v>409</v>
      </c>
      <c r="K8" s="3" t="s">
        <v>436</v>
      </c>
      <c r="L8">
        <f t="shared" si="0"/>
        <v>14.3</v>
      </c>
      <c r="M8" s="9">
        <f t="shared" si="1"/>
        <v>55.9</v>
      </c>
      <c r="N8">
        <f t="shared" si="2"/>
        <v>124.80000000000001</v>
      </c>
      <c r="O8">
        <f t="shared" si="3"/>
        <v>19.5</v>
      </c>
      <c r="P8" cm="1">
        <f t="array" ref="P8">CountTokensClean(H8)</f>
        <v>273</v>
      </c>
      <c r="Q8" cm="1">
        <f t="array" ref="Q8">CountTokensClean(I8)</f>
        <v>56</v>
      </c>
      <c r="R8" cm="1">
        <f t="array" ref="R8">CountTokensClean(J8)</f>
        <v>216</v>
      </c>
      <c r="S8" cm="1">
        <f t="array" ref="S8">CountTokensClean(K8)</f>
        <v>39</v>
      </c>
    </row>
    <row r="9" spans="1:19" ht="117" customHeight="1" x14ac:dyDescent="0.3">
      <c r="A9" s="6">
        <v>8</v>
      </c>
      <c r="B9" s="6" t="s">
        <v>76</v>
      </c>
      <c r="C9" s="6" t="s">
        <v>393</v>
      </c>
      <c r="D9" s="6" t="s">
        <v>25</v>
      </c>
      <c r="E9" s="6" t="s">
        <v>47</v>
      </c>
      <c r="F9" s="6" t="s">
        <v>286</v>
      </c>
      <c r="G9" s="6" t="s">
        <v>314</v>
      </c>
      <c r="H9" s="6" t="s">
        <v>343</v>
      </c>
      <c r="I9" s="6" t="s">
        <v>369</v>
      </c>
      <c r="J9" s="3" t="s">
        <v>410</v>
      </c>
      <c r="K9" s="3" t="s">
        <v>437</v>
      </c>
      <c r="L9">
        <f t="shared" si="0"/>
        <v>35.1</v>
      </c>
      <c r="M9" s="9">
        <f t="shared" si="1"/>
        <v>78</v>
      </c>
      <c r="N9">
        <f t="shared" si="2"/>
        <v>118.3</v>
      </c>
      <c r="O9">
        <f t="shared" si="3"/>
        <v>27.3</v>
      </c>
      <c r="P9" cm="1">
        <f t="array" ref="P9">CountTokensClean(H9)</f>
        <v>341</v>
      </c>
      <c r="Q9" cm="1">
        <f t="array" ref="Q9">CountTokensClean(I9)</f>
        <v>124</v>
      </c>
      <c r="R9" cm="1">
        <f t="array" ref="R9">CountTokensClean(J9)</f>
        <v>233</v>
      </c>
      <c r="S9" cm="1">
        <f t="array" ref="S9">CountTokensClean(K9)</f>
        <v>74</v>
      </c>
    </row>
    <row r="10" spans="1:19" ht="87" customHeight="1" x14ac:dyDescent="0.3">
      <c r="A10" s="6">
        <v>9</v>
      </c>
      <c r="B10" s="6" t="s">
        <v>77</v>
      </c>
      <c r="C10" s="6" t="s">
        <v>26</v>
      </c>
      <c r="D10" s="6" t="s">
        <v>27</v>
      </c>
      <c r="E10" s="6" t="s">
        <v>43</v>
      </c>
      <c r="F10" s="6" t="s">
        <v>287</v>
      </c>
      <c r="G10" s="6" t="s">
        <v>315</v>
      </c>
      <c r="H10" s="6" t="s">
        <v>342</v>
      </c>
      <c r="I10" s="6" t="s">
        <v>370</v>
      </c>
      <c r="J10" s="3" t="s">
        <v>411</v>
      </c>
      <c r="K10" s="3" t="s">
        <v>438</v>
      </c>
      <c r="L10">
        <f t="shared" si="0"/>
        <v>3.9000000000000004</v>
      </c>
      <c r="M10" s="9">
        <f t="shared" si="1"/>
        <v>84.5</v>
      </c>
      <c r="N10">
        <f t="shared" si="2"/>
        <v>102.7</v>
      </c>
      <c r="O10">
        <f t="shared" si="3"/>
        <v>24.7</v>
      </c>
      <c r="P10" cm="1">
        <f t="array" ref="P10">CountTokensClean(H10)</f>
        <v>697</v>
      </c>
      <c r="Q10" cm="1">
        <f t="array" ref="Q10">CountTokensClean(I10)</f>
        <v>108</v>
      </c>
      <c r="R10" cm="1">
        <f t="array" ref="R10">CountTokensClean(J10)</f>
        <v>256</v>
      </c>
      <c r="S10" cm="1">
        <f t="array" ref="S10">CountTokensClean(K10)</f>
        <v>30</v>
      </c>
    </row>
    <row r="11" spans="1:19" ht="409.6" x14ac:dyDescent="0.3">
      <c r="A11" s="6">
        <v>10</v>
      </c>
      <c r="B11" s="6" t="s">
        <v>74</v>
      </c>
      <c r="C11" s="6" t="s">
        <v>28</v>
      </c>
      <c r="D11" s="6" t="s">
        <v>29</v>
      </c>
      <c r="E11" s="6" t="s">
        <v>54</v>
      </c>
      <c r="F11" s="6" t="s">
        <v>288</v>
      </c>
      <c r="G11" s="6" t="s">
        <v>316</v>
      </c>
      <c r="H11" s="6" t="s">
        <v>344</v>
      </c>
      <c r="I11" s="6" t="s">
        <v>371</v>
      </c>
      <c r="J11" s="3" t="s">
        <v>412</v>
      </c>
      <c r="K11" s="3" t="s">
        <v>439</v>
      </c>
      <c r="L11">
        <f t="shared" si="0"/>
        <v>62.400000000000006</v>
      </c>
      <c r="M11" s="9">
        <f t="shared" si="1"/>
        <v>46.800000000000004</v>
      </c>
      <c r="N11">
        <f t="shared" si="2"/>
        <v>127.4</v>
      </c>
      <c r="O11">
        <f t="shared" si="3"/>
        <v>23.400000000000002</v>
      </c>
      <c r="P11" cm="1">
        <f t="array" ref="P11">CountTokensClean(H11)</f>
        <v>582</v>
      </c>
      <c r="Q11" cm="1">
        <f t="array" ref="Q11">CountTokensClean(I11)</f>
        <v>117</v>
      </c>
      <c r="R11" cm="1">
        <f t="array" ref="R11">CountTokensClean(J11)</f>
        <v>220</v>
      </c>
      <c r="S11" cm="1">
        <f t="array" ref="S11">CountTokensClean(K11)</f>
        <v>64</v>
      </c>
    </row>
    <row r="12" spans="1:19" ht="409.6" x14ac:dyDescent="0.3">
      <c r="A12" s="6">
        <v>11</v>
      </c>
      <c r="B12" s="6" t="s">
        <v>77</v>
      </c>
      <c r="C12" s="6" t="s">
        <v>30</v>
      </c>
      <c r="D12" s="6" t="s">
        <v>31</v>
      </c>
      <c r="E12" s="6" t="s">
        <v>55</v>
      </c>
      <c r="F12" s="6" t="s">
        <v>289</v>
      </c>
      <c r="G12" s="6" t="s">
        <v>317</v>
      </c>
      <c r="H12" s="6" t="s">
        <v>345</v>
      </c>
      <c r="I12" s="6" t="s">
        <v>372</v>
      </c>
      <c r="J12" s="3" t="s">
        <v>413</v>
      </c>
      <c r="K12" s="3" t="s">
        <v>440</v>
      </c>
      <c r="L12">
        <f t="shared" si="0"/>
        <v>11.700000000000001</v>
      </c>
      <c r="M12" s="9">
        <f t="shared" si="1"/>
        <v>27.3</v>
      </c>
      <c r="N12">
        <f t="shared" si="2"/>
        <v>76.7</v>
      </c>
      <c r="O12">
        <f t="shared" si="3"/>
        <v>23.400000000000002</v>
      </c>
      <c r="P12" cm="1">
        <f t="array" ref="P12">CountTokensClean(H12)</f>
        <v>394</v>
      </c>
      <c r="Q12" cm="1">
        <f t="array" ref="Q12">CountTokensClean(I12)</f>
        <v>87</v>
      </c>
      <c r="R12" cm="1">
        <f t="array" ref="R12">CountTokensClean(J12)</f>
        <v>290</v>
      </c>
      <c r="S12" cm="1">
        <f t="array" ref="S12">CountTokensClean(K12)</f>
        <v>18</v>
      </c>
    </row>
    <row r="13" spans="1:19" ht="93" customHeight="1" x14ac:dyDescent="0.3">
      <c r="A13" s="6">
        <v>12</v>
      </c>
      <c r="B13" s="6" t="s">
        <v>74</v>
      </c>
      <c r="C13" s="6" t="s">
        <v>32</v>
      </c>
      <c r="D13" s="6" t="s">
        <v>33</v>
      </c>
      <c r="E13" s="6" t="s">
        <v>68</v>
      </c>
      <c r="F13" s="6" t="s">
        <v>290</v>
      </c>
      <c r="G13" s="6" t="s">
        <v>318</v>
      </c>
      <c r="H13" s="6" t="s">
        <v>346</v>
      </c>
      <c r="I13" s="6" t="s">
        <v>373</v>
      </c>
      <c r="J13" s="3" t="s">
        <v>415</v>
      </c>
      <c r="K13" s="3" t="s">
        <v>97</v>
      </c>
      <c r="L13">
        <f t="shared" si="0"/>
        <v>24.7</v>
      </c>
      <c r="M13" s="9">
        <f t="shared" si="1"/>
        <v>71.5</v>
      </c>
      <c r="N13">
        <f t="shared" si="2"/>
        <v>93.600000000000009</v>
      </c>
      <c r="O13">
        <f t="shared" si="3"/>
        <v>19.5</v>
      </c>
      <c r="P13" cm="1">
        <f t="array" ref="P13">CountTokensClean(H13)</f>
        <v>298</v>
      </c>
      <c r="Q13" cm="1">
        <f t="array" ref="Q13">CountTokensClean(I13)</f>
        <v>84</v>
      </c>
      <c r="R13" cm="1">
        <f t="array" ref="R13">CountTokensClean(J13)</f>
        <v>183</v>
      </c>
      <c r="S13" cm="1">
        <f t="array" ref="S13">CountTokensClean(K13)</f>
        <v>21</v>
      </c>
    </row>
    <row r="14" spans="1:19" ht="345.6" x14ac:dyDescent="0.3">
      <c r="A14" s="6">
        <v>13</v>
      </c>
      <c r="B14" s="6" t="s">
        <v>74</v>
      </c>
      <c r="C14" s="6" t="s">
        <v>394</v>
      </c>
      <c r="D14" s="6" t="s">
        <v>34</v>
      </c>
      <c r="E14" s="6" t="s">
        <v>58</v>
      </c>
      <c r="F14" s="6" t="s">
        <v>291</v>
      </c>
      <c r="G14" s="6" t="s">
        <v>319</v>
      </c>
      <c r="H14" s="6" t="s">
        <v>347</v>
      </c>
      <c r="I14" s="6" t="s">
        <v>374</v>
      </c>
      <c r="J14" s="3" t="s">
        <v>414</v>
      </c>
      <c r="K14" s="3" t="s">
        <v>441</v>
      </c>
      <c r="L14">
        <f t="shared" si="0"/>
        <v>9.1</v>
      </c>
      <c r="M14" s="9">
        <f t="shared" si="1"/>
        <v>1.3</v>
      </c>
      <c r="N14">
        <f t="shared" si="2"/>
        <v>78</v>
      </c>
      <c r="O14">
        <f t="shared" si="3"/>
        <v>19.5</v>
      </c>
      <c r="P14" cm="1">
        <f t="array" ref="P14">CountTokensClean(H14)</f>
        <v>150</v>
      </c>
      <c r="Q14" cm="1">
        <f t="array" ref="Q14">CountTokensClean(I14)</f>
        <v>56</v>
      </c>
      <c r="R14" cm="1">
        <f t="array" ref="R14">CountTokensClean(J14)</f>
        <v>190</v>
      </c>
      <c r="S14" cm="1">
        <f t="array" ref="S14">CountTokensClean(K14)</f>
        <v>34</v>
      </c>
    </row>
    <row r="15" spans="1:19" ht="409.6" x14ac:dyDescent="0.3">
      <c r="A15" s="6">
        <v>14</v>
      </c>
      <c r="B15" s="6" t="s">
        <v>77</v>
      </c>
      <c r="C15" s="6" t="s">
        <v>35</v>
      </c>
      <c r="D15" s="6" t="s">
        <v>36</v>
      </c>
      <c r="E15" s="6" t="s">
        <v>57</v>
      </c>
      <c r="F15" s="6" t="s">
        <v>292</v>
      </c>
      <c r="G15" s="6" t="s">
        <v>320</v>
      </c>
      <c r="H15" s="6" t="s">
        <v>348</v>
      </c>
      <c r="I15" s="6" t="s">
        <v>375</v>
      </c>
      <c r="J15" s="3" t="s">
        <v>416</v>
      </c>
      <c r="K15" s="3" t="s">
        <v>101</v>
      </c>
      <c r="L15">
        <f t="shared" si="0"/>
        <v>1.3</v>
      </c>
      <c r="M15" s="9">
        <f t="shared" si="1"/>
        <v>71.5</v>
      </c>
      <c r="N15">
        <f t="shared" si="2"/>
        <v>124.80000000000001</v>
      </c>
      <c r="O15">
        <f t="shared" si="3"/>
        <v>26</v>
      </c>
      <c r="P15" cm="1">
        <f t="array" ref="P15">CountTokensClean(H15)</f>
        <v>402</v>
      </c>
      <c r="Q15" cm="1">
        <f t="array" ref="Q15">CountTokensClean(I15)</f>
        <v>95</v>
      </c>
      <c r="R15" cm="1">
        <f t="array" ref="R15">CountTokensClean(J15)</f>
        <v>239</v>
      </c>
      <c r="S15" cm="1">
        <f t="array" ref="S15">CountTokensClean(K15)</f>
        <v>21</v>
      </c>
    </row>
    <row r="16" spans="1:19" ht="409.6" x14ac:dyDescent="0.3">
      <c r="A16" s="6">
        <v>15</v>
      </c>
      <c r="B16" s="6" t="s">
        <v>74</v>
      </c>
      <c r="C16" s="6" t="s">
        <v>37</v>
      </c>
      <c r="D16" s="6" t="s">
        <v>38</v>
      </c>
      <c r="E16" s="6" t="s">
        <v>44</v>
      </c>
      <c r="F16" s="6" t="s">
        <v>293</v>
      </c>
      <c r="G16" s="6" t="s">
        <v>321</v>
      </c>
      <c r="H16" s="6" t="s">
        <v>349</v>
      </c>
      <c r="I16" s="6" t="s">
        <v>376</v>
      </c>
      <c r="J16" s="3" t="s">
        <v>417</v>
      </c>
      <c r="K16" s="3" t="s">
        <v>442</v>
      </c>
      <c r="L16">
        <f t="shared" si="0"/>
        <v>16.900000000000002</v>
      </c>
      <c r="M16" s="9">
        <f t="shared" si="1"/>
        <v>62.400000000000006</v>
      </c>
      <c r="N16">
        <f t="shared" si="2"/>
        <v>150.80000000000001</v>
      </c>
      <c r="O16">
        <f t="shared" si="3"/>
        <v>7.8000000000000007</v>
      </c>
      <c r="P16" cm="1">
        <f t="array" ref="P16">CountTokensClean(H16)</f>
        <v>604</v>
      </c>
      <c r="Q16" cm="1">
        <f t="array" ref="Q16">CountTokensClean(I16)</f>
        <v>153</v>
      </c>
      <c r="R16" cm="1">
        <f t="array" ref="R16">CountTokensClean(J16)</f>
        <v>259</v>
      </c>
      <c r="S16" cm="1">
        <f t="array" ref="S16">CountTokensClean(K16)</f>
        <v>26</v>
      </c>
    </row>
    <row r="17" spans="1:19" ht="409.6" x14ac:dyDescent="0.3">
      <c r="A17" s="6">
        <v>16</v>
      </c>
      <c r="B17" s="6" t="s">
        <v>74</v>
      </c>
      <c r="C17" s="6" t="s">
        <v>39</v>
      </c>
      <c r="D17" s="7" t="s">
        <v>40</v>
      </c>
      <c r="E17" s="6" t="s">
        <v>56</v>
      </c>
      <c r="F17" s="6" t="s">
        <v>294</v>
      </c>
      <c r="G17" s="6" t="s">
        <v>322</v>
      </c>
      <c r="H17" s="6" t="s">
        <v>350</v>
      </c>
      <c r="I17" s="6" t="s">
        <v>377</v>
      </c>
      <c r="J17" s="3" t="s">
        <v>418</v>
      </c>
      <c r="K17" s="3" t="s">
        <v>443</v>
      </c>
      <c r="L17">
        <f t="shared" si="0"/>
        <v>36.4</v>
      </c>
      <c r="M17" s="9">
        <f t="shared" si="1"/>
        <v>37.700000000000003</v>
      </c>
      <c r="N17">
        <f t="shared" si="2"/>
        <v>93.600000000000009</v>
      </c>
      <c r="O17">
        <f t="shared" si="3"/>
        <v>23.400000000000002</v>
      </c>
      <c r="P17" cm="1">
        <f t="array" ref="P17">CountTokensClean(H17)</f>
        <v>399</v>
      </c>
      <c r="Q17" cm="1">
        <f t="array" ref="Q17">CountTokensClean(I17)</f>
        <v>166</v>
      </c>
      <c r="R17" cm="1">
        <f t="array" ref="R17">CountTokensClean(J17)</f>
        <v>202</v>
      </c>
      <c r="S17" cm="1">
        <f t="array" ref="S17">CountTokensClean(K17)</f>
        <v>25</v>
      </c>
    </row>
    <row r="18" spans="1:19" ht="409.6" x14ac:dyDescent="0.3">
      <c r="A18" s="6">
        <v>17</v>
      </c>
      <c r="B18" s="6" t="s">
        <v>75</v>
      </c>
      <c r="C18" s="6" t="s">
        <v>45</v>
      </c>
      <c r="D18" s="6" t="s">
        <v>58</v>
      </c>
      <c r="E18" s="6" t="s">
        <v>46</v>
      </c>
      <c r="F18" s="6" t="s">
        <v>295</v>
      </c>
      <c r="G18" s="6" t="s">
        <v>323</v>
      </c>
      <c r="H18" s="6" t="s">
        <v>351</v>
      </c>
      <c r="I18" s="6" t="s">
        <v>378</v>
      </c>
      <c r="J18" s="3" t="s">
        <v>419</v>
      </c>
      <c r="K18" s="3" t="s">
        <v>107</v>
      </c>
      <c r="L18">
        <f t="shared" si="0"/>
        <v>1.3</v>
      </c>
      <c r="M18" s="9">
        <f t="shared" si="1"/>
        <v>36.4</v>
      </c>
      <c r="N18">
        <f t="shared" si="2"/>
        <v>92.3</v>
      </c>
      <c r="O18">
        <f t="shared" si="3"/>
        <v>22.1</v>
      </c>
      <c r="P18" cm="1">
        <f t="array" ref="P18">CountTokensClean(H18)</f>
        <v>342</v>
      </c>
      <c r="Q18" cm="1">
        <f t="array" ref="Q18">CountTokensClean(I18)</f>
        <v>100</v>
      </c>
      <c r="R18" cm="1">
        <f t="array" ref="R18">CountTokensClean(J18)</f>
        <v>350</v>
      </c>
      <c r="S18" cm="1">
        <f t="array" ref="S18">CountTokensClean(K18)</f>
        <v>20</v>
      </c>
    </row>
    <row r="19" spans="1:19" ht="409.6" x14ac:dyDescent="0.3">
      <c r="A19" s="6">
        <v>18</v>
      </c>
      <c r="B19" s="6" t="s">
        <v>74</v>
      </c>
      <c r="C19" s="6" t="s">
        <v>395</v>
      </c>
      <c r="D19" s="6" t="s">
        <v>58</v>
      </c>
      <c r="E19" s="6" t="s">
        <v>48</v>
      </c>
      <c r="F19" s="6" t="s">
        <v>296</v>
      </c>
      <c r="G19" s="6" t="s">
        <v>324</v>
      </c>
      <c r="H19" s="6" t="s">
        <v>466</v>
      </c>
      <c r="I19" s="6" t="s">
        <v>379</v>
      </c>
      <c r="J19" s="3" t="s">
        <v>420</v>
      </c>
      <c r="K19" s="3" t="s">
        <v>444</v>
      </c>
      <c r="M19" s="9">
        <f t="shared" si="1"/>
        <v>10.4</v>
      </c>
      <c r="N19">
        <f t="shared" si="2"/>
        <v>71.5</v>
      </c>
      <c r="O19">
        <f t="shared" si="3"/>
        <v>35.1</v>
      </c>
      <c r="P19" cm="1">
        <f t="array" ref="P19">CountTokensClean(H19)</f>
        <v>181</v>
      </c>
      <c r="Q19" cm="1">
        <f t="array" ref="Q19">CountTokensClean(I19)</f>
        <v>78</v>
      </c>
      <c r="R19" cm="1">
        <f t="array" ref="R19">CountTokensClean(J19)</f>
        <v>286</v>
      </c>
      <c r="S19" cm="1">
        <f t="array" ref="S19">CountTokensClean(K19)</f>
        <v>32</v>
      </c>
    </row>
    <row r="20" spans="1:19" ht="409.6" x14ac:dyDescent="0.3">
      <c r="A20" s="6">
        <v>19</v>
      </c>
      <c r="B20" s="6" t="s">
        <v>74</v>
      </c>
      <c r="C20" s="6" t="s">
        <v>396</v>
      </c>
      <c r="D20" s="6" t="s">
        <v>58</v>
      </c>
      <c r="E20" s="6" t="s">
        <v>59</v>
      </c>
      <c r="F20" s="6" t="s">
        <v>297</v>
      </c>
      <c r="G20" s="6" t="s">
        <v>325</v>
      </c>
      <c r="H20" s="6" t="s">
        <v>352</v>
      </c>
      <c r="I20" s="6" t="s">
        <v>380</v>
      </c>
      <c r="J20" s="3" t="s">
        <v>421</v>
      </c>
      <c r="K20" s="3" t="s">
        <v>445</v>
      </c>
      <c r="M20" s="9">
        <f t="shared" si="1"/>
        <v>68.900000000000006</v>
      </c>
      <c r="N20">
        <f t="shared" si="2"/>
        <v>117</v>
      </c>
      <c r="O20">
        <f t="shared" si="3"/>
        <v>26</v>
      </c>
      <c r="P20" cm="1">
        <f t="array" ref="P20">CountTokensClean(H20)</f>
        <v>614</v>
      </c>
      <c r="Q20" cm="1">
        <f t="array" ref="Q20">CountTokensClean(I20)</f>
        <v>156</v>
      </c>
      <c r="R20" cm="1">
        <f t="array" ref="R20">CountTokensClean(J20)</f>
        <v>365</v>
      </c>
      <c r="S20" cm="1">
        <f t="array" ref="S20">CountTokensClean(K20)</f>
        <v>86</v>
      </c>
    </row>
    <row r="21" spans="1:19" ht="409.6" x14ac:dyDescent="0.3">
      <c r="A21" s="6">
        <v>20</v>
      </c>
      <c r="B21" s="6" t="s">
        <v>77</v>
      </c>
      <c r="C21" s="6" t="s">
        <v>277</v>
      </c>
      <c r="D21" s="6" t="s">
        <v>58</v>
      </c>
      <c r="E21" s="6" t="s">
        <v>60</v>
      </c>
      <c r="F21" s="6" t="s">
        <v>298</v>
      </c>
      <c r="G21" s="6" t="s">
        <v>326</v>
      </c>
      <c r="H21" s="6" t="s">
        <v>353</v>
      </c>
      <c r="I21" s="6" t="s">
        <v>381</v>
      </c>
      <c r="J21" s="3" t="s">
        <v>422</v>
      </c>
      <c r="K21" s="3" t="s">
        <v>446</v>
      </c>
      <c r="M21" s="9">
        <f t="shared" si="1"/>
        <v>48.1</v>
      </c>
      <c r="N21">
        <f t="shared" si="2"/>
        <v>126.10000000000001</v>
      </c>
      <c r="O21">
        <f t="shared" si="3"/>
        <v>19.5</v>
      </c>
      <c r="P21" cm="1">
        <f t="array" ref="P21">CountTokensClean(H21)</f>
        <v>599</v>
      </c>
      <c r="Q21" cm="1">
        <f t="array" ref="Q21">CountTokensClean(I21)</f>
        <v>65</v>
      </c>
      <c r="R21" cm="1">
        <f t="array" ref="R21">CountTokensClean(J21)</f>
        <v>276</v>
      </c>
      <c r="S21" cm="1">
        <f t="array" ref="S21">CountTokensClean(K21)</f>
        <v>27</v>
      </c>
    </row>
    <row r="22" spans="1:19" ht="409.6" x14ac:dyDescent="0.3">
      <c r="A22" s="6">
        <v>21</v>
      </c>
      <c r="B22" s="6" t="s">
        <v>74</v>
      </c>
      <c r="C22" s="6" t="s">
        <v>61</v>
      </c>
      <c r="D22" s="6" t="s">
        <v>58</v>
      </c>
      <c r="E22" s="6" t="s">
        <v>62</v>
      </c>
      <c r="F22" s="6" t="s">
        <v>299</v>
      </c>
      <c r="G22" s="6" t="s">
        <v>327</v>
      </c>
      <c r="H22" s="6" t="s">
        <v>354</v>
      </c>
      <c r="I22" s="6" t="s">
        <v>382</v>
      </c>
      <c r="J22" s="3" t="s">
        <v>423</v>
      </c>
      <c r="K22" s="3" t="s">
        <v>447</v>
      </c>
      <c r="M22" s="9">
        <f t="shared" si="1"/>
        <v>20.8</v>
      </c>
      <c r="N22">
        <f t="shared" si="2"/>
        <v>122.2</v>
      </c>
      <c r="O22">
        <f t="shared" si="3"/>
        <v>33.800000000000004</v>
      </c>
      <c r="P22" cm="1">
        <f t="array" ref="P22">CountTokensClean(H22)</f>
        <v>530</v>
      </c>
      <c r="Q22" cm="1">
        <f t="array" ref="Q22">CountTokensClean(I22)</f>
        <v>66</v>
      </c>
      <c r="R22" cm="1">
        <f t="array" ref="R22">CountTokensClean(J22)</f>
        <v>172</v>
      </c>
      <c r="S22" cm="1">
        <f t="array" ref="S22">CountTokensClean(K22)</f>
        <v>40</v>
      </c>
    </row>
    <row r="23" spans="1:19" ht="129" customHeight="1" x14ac:dyDescent="0.3">
      <c r="A23" s="6">
        <v>22</v>
      </c>
      <c r="B23" s="6" t="s">
        <v>74</v>
      </c>
      <c r="C23" s="6" t="s">
        <v>397</v>
      </c>
      <c r="D23" s="6" t="s">
        <v>58</v>
      </c>
      <c r="E23" s="6" t="s">
        <v>63</v>
      </c>
      <c r="F23" s="6" t="s">
        <v>300</v>
      </c>
      <c r="G23" s="6" t="s">
        <v>328</v>
      </c>
      <c r="H23" s="6" t="s">
        <v>355</v>
      </c>
      <c r="I23" s="6" t="s">
        <v>383</v>
      </c>
      <c r="J23" s="3" t="s">
        <v>424</v>
      </c>
      <c r="K23" s="3" t="s">
        <v>448</v>
      </c>
      <c r="M23" s="9">
        <f t="shared" si="1"/>
        <v>107.9</v>
      </c>
      <c r="N23">
        <f t="shared" si="2"/>
        <v>136.5</v>
      </c>
      <c r="O23">
        <f t="shared" si="3"/>
        <v>33.800000000000004</v>
      </c>
      <c r="P23" cm="1">
        <f t="array" ref="P23">CountTokensClean(H23)</f>
        <v>337</v>
      </c>
      <c r="Q23" cm="1">
        <f t="array" ref="Q23">CountTokensClean(I23)</f>
        <v>75</v>
      </c>
      <c r="R23" cm="1">
        <f t="array" ref="R23">CountTokensClean(J23)</f>
        <v>164</v>
      </c>
      <c r="S23" cm="1">
        <f t="array" ref="S23">CountTokensClean(K23)</f>
        <v>38</v>
      </c>
    </row>
    <row r="24" spans="1:19" ht="409.6" x14ac:dyDescent="0.3">
      <c r="A24" s="6">
        <v>23</v>
      </c>
      <c r="B24" s="6" t="s">
        <v>74</v>
      </c>
      <c r="C24" s="6" t="s">
        <v>398</v>
      </c>
      <c r="D24" s="6" t="s">
        <v>58</v>
      </c>
      <c r="E24" s="6" t="s">
        <v>64</v>
      </c>
      <c r="F24" s="6" t="s">
        <v>301</v>
      </c>
      <c r="G24" s="6" t="s">
        <v>329</v>
      </c>
      <c r="H24" s="6" t="s">
        <v>356</v>
      </c>
      <c r="I24" s="6" t="s">
        <v>384</v>
      </c>
      <c r="J24" s="3" t="s">
        <v>425</v>
      </c>
      <c r="K24" s="3" t="s">
        <v>449</v>
      </c>
      <c r="M24" s="9">
        <f t="shared" si="1"/>
        <v>31.200000000000003</v>
      </c>
      <c r="N24">
        <f t="shared" si="2"/>
        <v>71.5</v>
      </c>
      <c r="O24">
        <f t="shared" si="3"/>
        <v>28.6</v>
      </c>
      <c r="P24" cm="1">
        <f t="array" ref="P24">CountTokensClean(H24)</f>
        <v>281</v>
      </c>
      <c r="Q24" cm="1">
        <f t="array" ref="Q24">CountTokensClean(I24)</f>
        <v>68</v>
      </c>
      <c r="R24" cm="1">
        <f t="array" ref="R24">CountTokensClean(J24)</f>
        <v>187</v>
      </c>
      <c r="S24" cm="1">
        <f t="array" ref="S24">CountTokensClean(K24)</f>
        <v>42</v>
      </c>
    </row>
    <row r="25" spans="1:19" ht="409.6" x14ac:dyDescent="0.3">
      <c r="A25" s="6">
        <v>24</v>
      </c>
      <c r="B25" s="6" t="s">
        <v>76</v>
      </c>
      <c r="C25" s="6" t="s">
        <v>65</v>
      </c>
      <c r="D25" s="6" t="s">
        <v>58</v>
      </c>
      <c r="E25" s="6" t="s">
        <v>66</v>
      </c>
      <c r="F25" s="6" t="s">
        <v>302</v>
      </c>
      <c r="G25" s="6" t="s">
        <v>330</v>
      </c>
      <c r="H25" s="6" t="s">
        <v>357</v>
      </c>
      <c r="I25" s="6" t="s">
        <v>385</v>
      </c>
      <c r="J25" s="3" t="s">
        <v>426</v>
      </c>
      <c r="K25" s="3" t="s">
        <v>450</v>
      </c>
      <c r="M25" s="9">
        <f t="shared" si="1"/>
        <v>11.700000000000001</v>
      </c>
      <c r="N25">
        <f t="shared" si="2"/>
        <v>127.4</v>
      </c>
      <c r="O25">
        <f t="shared" si="3"/>
        <v>33.800000000000004</v>
      </c>
      <c r="P25" cm="1">
        <f t="array" ref="P25">CountTokensClean(H25)</f>
        <v>625</v>
      </c>
      <c r="Q25" cm="1">
        <f t="array" ref="Q25">CountTokensClean(I25)</f>
        <v>177</v>
      </c>
      <c r="R25" cm="1">
        <f t="array" ref="R25">CountTokensClean(J25)</f>
        <v>242</v>
      </c>
      <c r="S25" cm="1">
        <f t="array" ref="S25">CountTokensClean(K25)</f>
        <v>38</v>
      </c>
    </row>
    <row r="26" spans="1:19" ht="409.6" x14ac:dyDescent="0.3">
      <c r="A26" s="6">
        <v>25</v>
      </c>
      <c r="B26" s="6" t="s">
        <v>74</v>
      </c>
      <c r="C26" s="6" t="s">
        <v>399</v>
      </c>
      <c r="D26" s="6" t="s">
        <v>58</v>
      </c>
      <c r="E26" s="6" t="s">
        <v>67</v>
      </c>
      <c r="F26" s="6" t="s">
        <v>303</v>
      </c>
      <c r="G26" s="6" t="s">
        <v>331</v>
      </c>
      <c r="H26" s="6" t="s">
        <v>358</v>
      </c>
      <c r="I26" s="6" t="s">
        <v>386</v>
      </c>
      <c r="J26" s="3" t="s">
        <v>427</v>
      </c>
      <c r="K26" s="3" t="s">
        <v>451</v>
      </c>
      <c r="M26" s="9">
        <f t="shared" si="1"/>
        <v>31.200000000000003</v>
      </c>
      <c r="N26">
        <f t="shared" si="2"/>
        <v>111.8</v>
      </c>
      <c r="O26">
        <f t="shared" si="3"/>
        <v>10.4</v>
      </c>
      <c r="P26" cm="1">
        <f t="array" ref="P26">CountTokensClean(H26)</f>
        <v>259</v>
      </c>
      <c r="Q26" cm="1">
        <f t="array" ref="Q26">CountTokensClean(I26)</f>
        <v>68</v>
      </c>
      <c r="R26" cm="1">
        <f t="array" ref="R26">CountTokensClean(J26)</f>
        <v>256</v>
      </c>
      <c r="S26" cm="1">
        <f t="array" ref="S26">CountTokensClean(K26)</f>
        <v>34</v>
      </c>
    </row>
    <row r="27" spans="1:19" ht="409.6" x14ac:dyDescent="0.3">
      <c r="A27" s="6">
        <v>26</v>
      </c>
      <c r="B27" s="6" t="s">
        <v>74</v>
      </c>
      <c r="C27" s="6" t="s">
        <v>69</v>
      </c>
      <c r="D27" s="6" t="s">
        <v>58</v>
      </c>
      <c r="E27" s="6" t="s">
        <v>70</v>
      </c>
      <c r="F27" s="6" t="s">
        <v>304</v>
      </c>
      <c r="G27" s="6" t="s">
        <v>332</v>
      </c>
      <c r="H27" s="6" t="s">
        <v>359</v>
      </c>
      <c r="I27" s="6" t="s">
        <v>387</v>
      </c>
      <c r="J27" s="3" t="s">
        <v>428</v>
      </c>
      <c r="K27" s="3" t="s">
        <v>452</v>
      </c>
      <c r="M27" s="9">
        <f t="shared" si="1"/>
        <v>9.1</v>
      </c>
      <c r="N27">
        <f t="shared" si="2"/>
        <v>143</v>
      </c>
      <c r="O27">
        <f t="shared" si="3"/>
        <v>36.4</v>
      </c>
      <c r="P27" cm="1">
        <f t="array" ref="P27">CountTokensClean(H27)</f>
        <v>703</v>
      </c>
      <c r="Q27" cm="1">
        <f t="array" ref="Q27">CountTokensClean(I27)</f>
        <v>150</v>
      </c>
      <c r="R27" cm="1">
        <f t="array" ref="R27">CountTokensClean(J27)</f>
        <v>311</v>
      </c>
      <c r="S27" cm="1">
        <f t="array" ref="S27">CountTokensClean(K27)</f>
        <v>61</v>
      </c>
    </row>
    <row r="28" spans="1:19" ht="409.6" x14ac:dyDescent="0.3">
      <c r="A28" s="6">
        <v>27</v>
      </c>
      <c r="B28" s="6" t="s">
        <v>74</v>
      </c>
      <c r="C28" s="6" t="s">
        <v>71</v>
      </c>
      <c r="D28" s="6" t="s">
        <v>58</v>
      </c>
      <c r="E28" s="6" t="s">
        <v>72</v>
      </c>
      <c r="F28" s="6" t="s">
        <v>305</v>
      </c>
      <c r="G28" s="6" t="s">
        <v>333</v>
      </c>
      <c r="H28" s="6" t="s">
        <v>360</v>
      </c>
      <c r="I28" s="6" t="s">
        <v>388</v>
      </c>
      <c r="J28" s="3" t="s">
        <v>429</v>
      </c>
      <c r="K28" s="3" t="s">
        <v>453</v>
      </c>
      <c r="M28" s="9">
        <f t="shared" si="1"/>
        <v>80.600000000000009</v>
      </c>
      <c r="N28">
        <f t="shared" si="2"/>
        <v>184.6</v>
      </c>
      <c r="O28">
        <f t="shared" si="3"/>
        <v>31.200000000000003</v>
      </c>
      <c r="P28" cm="1">
        <f t="array" ref="P28">CountTokensClean(H28)</f>
        <v>850</v>
      </c>
      <c r="Q28" cm="1">
        <f t="array" ref="Q28">CountTokensClean(I28)</f>
        <v>280</v>
      </c>
      <c r="R28" cm="1">
        <f t="array" ref="R28">CountTokensClean(J28)</f>
        <v>439</v>
      </c>
      <c r="S28" cm="1">
        <f t="array" ref="S28">CountTokensClean(K28)</f>
        <v>98</v>
      </c>
    </row>
    <row r="29" spans="1:19" x14ac:dyDescent="0.3">
      <c r="B29" s="4"/>
      <c r="C29" s="4"/>
      <c r="D29" s="4"/>
      <c r="E29" s="4"/>
      <c r="F29" s="4"/>
      <c r="G29" s="4"/>
      <c r="H29" s="4"/>
      <c r="I29" s="4"/>
    </row>
    <row r="30" spans="1:19" x14ac:dyDescent="0.3">
      <c r="B30" s="4"/>
      <c r="C30" s="4"/>
      <c r="D30" s="4"/>
      <c r="E30" s="4"/>
      <c r="F30" s="4"/>
      <c r="G30" s="4"/>
      <c r="H30" s="4"/>
      <c r="I30" s="4"/>
    </row>
    <row r="31" spans="1:19" x14ac:dyDescent="0.3">
      <c r="B31" s="4"/>
      <c r="C31" s="4"/>
      <c r="D31" s="4"/>
      <c r="E31" s="4"/>
      <c r="F31" s="4"/>
      <c r="G31" s="4"/>
      <c r="H31" s="4"/>
      <c r="I31" s="4"/>
    </row>
    <row r="32" spans="1:19" x14ac:dyDescent="0.3">
      <c r="B32" s="4"/>
      <c r="C32" s="4"/>
      <c r="D32" s="4"/>
      <c r="E32" s="4"/>
      <c r="F32" s="4"/>
      <c r="G32" s="4"/>
      <c r="H32" s="4"/>
      <c r="I32" s="4"/>
    </row>
  </sheetData>
  <hyperlinks>
    <hyperlink ref="D17" r:id="rId1" xr:uid="{AACBDDE6-3C9A-4FE8-8DC5-5A0358D67F77}"/>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CCD7B-688E-4D0A-8526-DD246DD86AFF}">
  <sheetPr codeName="Sheet8"/>
  <dimension ref="A1:C101"/>
  <sheetViews>
    <sheetView workbookViewId="0">
      <selection activeCell="C44" sqref="C44"/>
    </sheetView>
  </sheetViews>
  <sheetFormatPr defaultRowHeight="14.4" x14ac:dyDescent="0.3"/>
  <cols>
    <col min="1" max="1" width="14" customWidth="1"/>
    <col min="2" max="2" width="42.33203125" customWidth="1"/>
    <col min="3" max="3" width="83.88671875" customWidth="1"/>
  </cols>
  <sheetData>
    <row r="1" spans="1:3" x14ac:dyDescent="0.3">
      <c r="A1" s="2" t="s">
        <v>0</v>
      </c>
      <c r="B1" s="2" t="s">
        <v>1</v>
      </c>
      <c r="C1" s="2" t="s">
        <v>15</v>
      </c>
    </row>
    <row r="2" spans="1:3" ht="28.8" x14ac:dyDescent="0.3">
      <c r="A2" s="3">
        <v>1</v>
      </c>
      <c r="B2" s="3" t="s">
        <v>78</v>
      </c>
      <c r="C2" s="3" t="s">
        <v>79</v>
      </c>
    </row>
    <row r="3" spans="1:3" x14ac:dyDescent="0.3">
      <c r="A3" s="3">
        <v>2</v>
      </c>
      <c r="B3" s="3" t="s">
        <v>80</v>
      </c>
      <c r="C3" s="3" t="s">
        <v>81</v>
      </c>
    </row>
    <row r="4" spans="1:3" ht="28.8" x14ac:dyDescent="0.3">
      <c r="A4" s="3">
        <v>3</v>
      </c>
      <c r="B4" s="3" t="s">
        <v>18</v>
      </c>
      <c r="C4" s="3" t="s">
        <v>82</v>
      </c>
    </row>
    <row r="5" spans="1:3" ht="28.8" x14ac:dyDescent="0.3">
      <c r="A5" s="3">
        <v>4</v>
      </c>
      <c r="B5" s="3" t="s">
        <v>83</v>
      </c>
      <c r="C5" s="3" t="s">
        <v>84</v>
      </c>
    </row>
    <row r="6" spans="1:3" ht="43.2" x14ac:dyDescent="0.3">
      <c r="A6" s="3">
        <v>5</v>
      </c>
      <c r="B6" s="3" t="s">
        <v>85</v>
      </c>
      <c r="C6" s="3" t="s">
        <v>86</v>
      </c>
    </row>
    <row r="7" spans="1:3" ht="28.8" x14ac:dyDescent="0.3">
      <c r="A7" s="3">
        <v>6</v>
      </c>
      <c r="B7" s="3" t="s">
        <v>87</v>
      </c>
      <c r="C7" s="3" t="s">
        <v>88</v>
      </c>
    </row>
    <row r="8" spans="1:3" ht="57.6" x14ac:dyDescent="0.3">
      <c r="A8" s="3">
        <v>7</v>
      </c>
      <c r="B8" s="3" t="s">
        <v>89</v>
      </c>
      <c r="C8" s="3" t="s">
        <v>253</v>
      </c>
    </row>
    <row r="9" spans="1:3" ht="72" x14ac:dyDescent="0.3">
      <c r="A9" s="3">
        <v>8</v>
      </c>
      <c r="B9" s="3" t="s">
        <v>90</v>
      </c>
      <c r="C9" s="3" t="s">
        <v>254</v>
      </c>
    </row>
    <row r="10" spans="1:3" ht="28.8" x14ac:dyDescent="0.3">
      <c r="A10" s="3">
        <v>9</v>
      </c>
      <c r="B10" s="3" t="s">
        <v>91</v>
      </c>
      <c r="C10" s="3" t="s">
        <v>92</v>
      </c>
    </row>
    <row r="11" spans="1:3" ht="72" x14ac:dyDescent="0.3">
      <c r="A11" s="3">
        <v>10</v>
      </c>
      <c r="B11" s="3" t="s">
        <v>93</v>
      </c>
      <c r="C11" s="3" t="s">
        <v>255</v>
      </c>
    </row>
    <row r="12" spans="1:3" ht="28.8" x14ac:dyDescent="0.3">
      <c r="A12" s="3">
        <v>11</v>
      </c>
      <c r="B12" s="3" t="s">
        <v>94</v>
      </c>
      <c r="C12" s="3" t="s">
        <v>95</v>
      </c>
    </row>
    <row r="13" spans="1:3" ht="28.8" x14ac:dyDescent="0.3">
      <c r="A13" s="3">
        <v>12</v>
      </c>
      <c r="B13" s="3" t="s">
        <v>96</v>
      </c>
      <c r="C13" s="3" t="s">
        <v>97</v>
      </c>
    </row>
    <row r="14" spans="1:3" x14ac:dyDescent="0.3">
      <c r="A14" s="3">
        <v>13</v>
      </c>
      <c r="B14" s="3" t="s">
        <v>98</v>
      </c>
      <c r="C14" s="3" t="s">
        <v>99</v>
      </c>
    </row>
    <row r="15" spans="1:3" ht="28.8" x14ac:dyDescent="0.3">
      <c r="A15" s="3">
        <v>14</v>
      </c>
      <c r="B15" s="3" t="s">
        <v>100</v>
      </c>
      <c r="C15" s="3" t="s">
        <v>101</v>
      </c>
    </row>
    <row r="16" spans="1:3" ht="28.8" x14ac:dyDescent="0.3">
      <c r="A16" s="3">
        <v>15</v>
      </c>
      <c r="B16" s="3" t="s">
        <v>102</v>
      </c>
      <c r="C16" s="3" t="s">
        <v>103</v>
      </c>
    </row>
    <row r="17" spans="1:3" ht="28.8" x14ac:dyDescent="0.3">
      <c r="A17" s="3">
        <v>16</v>
      </c>
      <c r="B17" s="3" t="s">
        <v>104</v>
      </c>
      <c r="C17" s="3" t="s">
        <v>105</v>
      </c>
    </row>
    <row r="18" spans="1:3" ht="28.8" x14ac:dyDescent="0.3">
      <c r="A18" s="3">
        <v>17</v>
      </c>
      <c r="B18" s="3" t="s">
        <v>106</v>
      </c>
      <c r="C18" s="3" t="s">
        <v>107</v>
      </c>
    </row>
    <row r="19" spans="1:3" ht="28.8" x14ac:dyDescent="0.3">
      <c r="A19" s="3">
        <v>18</v>
      </c>
      <c r="B19" s="3" t="s">
        <v>108</v>
      </c>
      <c r="C19" s="3" t="s">
        <v>109</v>
      </c>
    </row>
    <row r="20" spans="1:3" ht="57.6" x14ac:dyDescent="0.3">
      <c r="A20" s="3">
        <v>19</v>
      </c>
      <c r="B20" s="3" t="s">
        <v>110</v>
      </c>
      <c r="C20" s="3" t="s">
        <v>258</v>
      </c>
    </row>
    <row r="21" spans="1:3" ht="28.8" x14ac:dyDescent="0.3">
      <c r="A21" s="3">
        <v>20</v>
      </c>
      <c r="B21" s="3" t="s">
        <v>111</v>
      </c>
      <c r="C21" s="3" t="s">
        <v>112</v>
      </c>
    </row>
    <row r="22" spans="1:3" ht="28.8" x14ac:dyDescent="0.3">
      <c r="A22" s="3">
        <v>21</v>
      </c>
      <c r="B22" s="3" t="s">
        <v>113</v>
      </c>
      <c r="C22" s="3" t="s">
        <v>114</v>
      </c>
    </row>
    <row r="23" spans="1:3" ht="28.8" x14ac:dyDescent="0.3">
      <c r="A23" s="3">
        <v>22</v>
      </c>
      <c r="B23" s="3" t="s">
        <v>115</v>
      </c>
      <c r="C23" s="3" t="s">
        <v>116</v>
      </c>
    </row>
    <row r="24" spans="1:3" ht="28.8" x14ac:dyDescent="0.3">
      <c r="A24" s="3">
        <v>23</v>
      </c>
      <c r="B24" s="3" t="s">
        <v>117</v>
      </c>
      <c r="C24" s="3" t="s">
        <v>118</v>
      </c>
    </row>
    <row r="25" spans="1:3" ht="28.8" x14ac:dyDescent="0.3">
      <c r="A25" s="3">
        <v>24</v>
      </c>
      <c r="B25" s="3" t="s">
        <v>119</v>
      </c>
      <c r="C25" s="3" t="s">
        <v>120</v>
      </c>
    </row>
    <row r="26" spans="1:3" ht="28.8" x14ac:dyDescent="0.3">
      <c r="A26" s="3">
        <v>25</v>
      </c>
      <c r="B26" s="3" t="s">
        <v>121</v>
      </c>
      <c r="C26" s="3" t="s">
        <v>122</v>
      </c>
    </row>
    <row r="27" spans="1:3" ht="28.8" x14ac:dyDescent="0.3">
      <c r="A27" s="3">
        <v>26</v>
      </c>
      <c r="B27" s="3" t="s">
        <v>123</v>
      </c>
      <c r="C27" s="3" t="s">
        <v>124</v>
      </c>
    </row>
    <row r="28" spans="1:3" ht="28.8" x14ac:dyDescent="0.3">
      <c r="A28" s="3">
        <v>27</v>
      </c>
      <c r="B28" s="3" t="s">
        <v>125</v>
      </c>
      <c r="C28" s="3" t="s">
        <v>149</v>
      </c>
    </row>
    <row r="29" spans="1:3" ht="43.2" x14ac:dyDescent="0.3">
      <c r="A29" s="3">
        <v>28</v>
      </c>
      <c r="B29" s="3" t="s">
        <v>126</v>
      </c>
      <c r="C29" s="3" t="s">
        <v>127</v>
      </c>
    </row>
    <row r="30" spans="1:3" ht="28.8" x14ac:dyDescent="0.3">
      <c r="A30" s="3">
        <v>29</v>
      </c>
      <c r="B30" s="3" t="s">
        <v>128</v>
      </c>
      <c r="C30" s="3" t="s">
        <v>129</v>
      </c>
    </row>
    <row r="31" spans="1:3" ht="57.6" x14ac:dyDescent="0.3">
      <c r="A31" s="3">
        <v>30</v>
      </c>
      <c r="B31" s="3" t="s">
        <v>130</v>
      </c>
      <c r="C31" s="3" t="s">
        <v>256</v>
      </c>
    </row>
    <row r="32" spans="1:3" ht="28.8" x14ac:dyDescent="0.3">
      <c r="A32" s="3">
        <v>31</v>
      </c>
      <c r="B32" s="3" t="s">
        <v>131</v>
      </c>
      <c r="C32" s="3" t="s">
        <v>132</v>
      </c>
    </row>
    <row r="33" spans="1:3" ht="28.8" x14ac:dyDescent="0.3">
      <c r="A33" s="3">
        <v>32</v>
      </c>
      <c r="B33" s="3" t="s">
        <v>133</v>
      </c>
      <c r="C33" s="3" t="s">
        <v>134</v>
      </c>
    </row>
    <row r="34" spans="1:3" ht="28.8" x14ac:dyDescent="0.3">
      <c r="A34" s="3">
        <v>33</v>
      </c>
      <c r="B34" s="3" t="s">
        <v>135</v>
      </c>
      <c r="C34" s="3" t="s">
        <v>136</v>
      </c>
    </row>
    <row r="35" spans="1:3" ht="28.8" x14ac:dyDescent="0.3">
      <c r="A35" s="3">
        <v>34</v>
      </c>
      <c r="B35" s="3" t="s">
        <v>137</v>
      </c>
      <c r="C35" s="3" t="s">
        <v>138</v>
      </c>
    </row>
    <row r="36" spans="1:3" ht="28.8" x14ac:dyDescent="0.3">
      <c r="A36" s="3">
        <v>35</v>
      </c>
      <c r="B36" s="3" t="s">
        <v>139</v>
      </c>
      <c r="C36" s="3" t="s">
        <v>140</v>
      </c>
    </row>
    <row r="37" spans="1:3" ht="28.8" x14ac:dyDescent="0.3">
      <c r="A37" s="3">
        <v>36</v>
      </c>
      <c r="B37" s="3" t="s">
        <v>141</v>
      </c>
      <c r="C37" s="3" t="s">
        <v>142</v>
      </c>
    </row>
    <row r="38" spans="1:3" x14ac:dyDescent="0.3">
      <c r="A38" s="3">
        <v>37</v>
      </c>
      <c r="B38" s="3" t="s">
        <v>143</v>
      </c>
      <c r="C38" s="3" t="s">
        <v>144</v>
      </c>
    </row>
    <row r="39" spans="1:3" ht="28.8" x14ac:dyDescent="0.3">
      <c r="A39" s="3">
        <v>38</v>
      </c>
      <c r="B39" s="3" t="s">
        <v>145</v>
      </c>
      <c r="C39" s="3" t="s">
        <v>257</v>
      </c>
    </row>
    <row r="40" spans="1:3" ht="28.8" x14ac:dyDescent="0.3">
      <c r="A40" s="3">
        <v>39</v>
      </c>
      <c r="B40" s="3" t="s">
        <v>146</v>
      </c>
      <c r="C40" s="3" t="s">
        <v>147</v>
      </c>
    </row>
    <row r="41" spans="1:3" ht="57.6" x14ac:dyDescent="0.3">
      <c r="A41" s="3">
        <v>40</v>
      </c>
      <c r="B41" s="3" t="s">
        <v>148</v>
      </c>
      <c r="C41" s="3" t="s">
        <v>259</v>
      </c>
    </row>
    <row r="42" spans="1:3" x14ac:dyDescent="0.3">
      <c r="A42" s="3">
        <v>41</v>
      </c>
      <c r="B42" s="3" t="s">
        <v>150</v>
      </c>
      <c r="C42" s="3" t="s">
        <v>151</v>
      </c>
    </row>
    <row r="43" spans="1:3" ht="43.2" x14ac:dyDescent="0.3">
      <c r="A43" s="3">
        <v>42</v>
      </c>
      <c r="B43" s="3" t="s">
        <v>152</v>
      </c>
      <c r="C43" s="3" t="s">
        <v>180</v>
      </c>
    </row>
    <row r="44" spans="1:3" ht="43.2" x14ac:dyDescent="0.3">
      <c r="A44" s="3">
        <v>43</v>
      </c>
      <c r="B44" s="3" t="s">
        <v>153</v>
      </c>
      <c r="C44" s="3" t="s">
        <v>154</v>
      </c>
    </row>
    <row r="45" spans="1:3" ht="28.8" x14ac:dyDescent="0.3">
      <c r="A45" s="3">
        <v>44</v>
      </c>
      <c r="B45" s="3" t="s">
        <v>155</v>
      </c>
      <c r="C45" s="3" t="s">
        <v>156</v>
      </c>
    </row>
    <row r="46" spans="1:3" ht="72" x14ac:dyDescent="0.3">
      <c r="A46" s="3">
        <v>45</v>
      </c>
      <c r="B46" s="3" t="s">
        <v>157</v>
      </c>
      <c r="C46" s="3" t="s">
        <v>260</v>
      </c>
    </row>
    <row r="47" spans="1:3" ht="57.6" x14ac:dyDescent="0.3">
      <c r="A47" s="3">
        <v>46</v>
      </c>
      <c r="B47" s="3" t="s">
        <v>158</v>
      </c>
      <c r="C47" s="3" t="s">
        <v>261</v>
      </c>
    </row>
    <row r="48" spans="1:3" ht="72" x14ac:dyDescent="0.3">
      <c r="A48" s="3">
        <v>47</v>
      </c>
      <c r="B48" s="3" t="s">
        <v>159</v>
      </c>
      <c r="C48" s="3" t="s">
        <v>262</v>
      </c>
    </row>
    <row r="49" spans="1:3" ht="43.2" x14ac:dyDescent="0.3">
      <c r="A49" s="3">
        <v>48</v>
      </c>
      <c r="B49" s="3" t="s">
        <v>160</v>
      </c>
      <c r="C49" s="3" t="s">
        <v>161</v>
      </c>
    </row>
    <row r="50" spans="1:3" ht="43.2" x14ac:dyDescent="0.3">
      <c r="A50" s="3">
        <v>49</v>
      </c>
      <c r="B50" s="3" t="s">
        <v>162</v>
      </c>
      <c r="C50" s="3" t="s">
        <v>263</v>
      </c>
    </row>
    <row r="51" spans="1:3" ht="43.2" x14ac:dyDescent="0.3">
      <c r="A51" s="3">
        <v>50</v>
      </c>
      <c r="B51" s="3" t="s">
        <v>163</v>
      </c>
      <c r="C51" s="3" t="s">
        <v>264</v>
      </c>
    </row>
    <row r="52" spans="1:3" ht="28.8" x14ac:dyDescent="0.3">
      <c r="A52" s="3">
        <v>51</v>
      </c>
      <c r="B52" s="3" t="s">
        <v>164</v>
      </c>
      <c r="C52" s="3" t="s">
        <v>165</v>
      </c>
    </row>
    <row r="53" spans="1:3" ht="28.8" x14ac:dyDescent="0.3">
      <c r="A53" s="3">
        <v>52</v>
      </c>
      <c r="B53" s="3" t="s">
        <v>166</v>
      </c>
      <c r="C53" s="3" t="s">
        <v>167</v>
      </c>
    </row>
    <row r="54" spans="1:3" ht="72" x14ac:dyDescent="0.3">
      <c r="A54" s="3">
        <v>53</v>
      </c>
      <c r="B54" s="3" t="s">
        <v>168</v>
      </c>
      <c r="C54" s="3" t="s">
        <v>265</v>
      </c>
    </row>
    <row r="55" spans="1:3" ht="57.6" x14ac:dyDescent="0.3">
      <c r="A55" s="3">
        <v>54</v>
      </c>
      <c r="B55" s="3" t="s">
        <v>169</v>
      </c>
      <c r="C55" s="3" t="s">
        <v>266</v>
      </c>
    </row>
    <row r="56" spans="1:3" ht="28.8" x14ac:dyDescent="0.3">
      <c r="A56" s="3">
        <v>55</v>
      </c>
      <c r="B56" s="3" t="s">
        <v>170</v>
      </c>
      <c r="C56" s="3" t="s">
        <v>171</v>
      </c>
    </row>
    <row r="57" spans="1:3" ht="28.8" x14ac:dyDescent="0.3">
      <c r="A57" s="3">
        <v>56</v>
      </c>
      <c r="B57" s="3" t="s">
        <v>172</v>
      </c>
      <c r="C57" s="3" t="s">
        <v>173</v>
      </c>
    </row>
    <row r="58" spans="1:3" ht="57.6" x14ac:dyDescent="0.3">
      <c r="A58" s="3">
        <v>57</v>
      </c>
      <c r="B58" s="3" t="s">
        <v>174</v>
      </c>
      <c r="C58" s="3" t="s">
        <v>267</v>
      </c>
    </row>
    <row r="59" spans="1:3" ht="28.8" x14ac:dyDescent="0.3">
      <c r="A59" s="3">
        <v>58</v>
      </c>
      <c r="B59" s="3" t="s">
        <v>175</v>
      </c>
      <c r="C59" s="3" t="s">
        <v>176</v>
      </c>
    </row>
    <row r="60" spans="1:3" ht="57.6" x14ac:dyDescent="0.3">
      <c r="A60" s="3">
        <v>59</v>
      </c>
      <c r="B60" s="3" t="s">
        <v>177</v>
      </c>
      <c r="C60" s="3" t="s">
        <v>268</v>
      </c>
    </row>
    <row r="61" spans="1:3" ht="28.8" x14ac:dyDescent="0.3">
      <c r="A61" s="3">
        <v>60</v>
      </c>
      <c r="B61" s="3" t="s">
        <v>178</v>
      </c>
      <c r="C61" s="3" t="s">
        <v>179</v>
      </c>
    </row>
    <row r="62" spans="1:3" ht="28.8" x14ac:dyDescent="0.3">
      <c r="A62" s="3">
        <v>61</v>
      </c>
      <c r="B62" s="3" t="s">
        <v>181</v>
      </c>
      <c r="C62" s="3" t="s">
        <v>182</v>
      </c>
    </row>
    <row r="63" spans="1:3" ht="43.2" x14ac:dyDescent="0.3">
      <c r="A63" s="3">
        <v>62</v>
      </c>
      <c r="B63" s="3" t="s">
        <v>183</v>
      </c>
      <c r="C63" s="3" t="s">
        <v>269</v>
      </c>
    </row>
    <row r="64" spans="1:3" ht="28.8" x14ac:dyDescent="0.3">
      <c r="A64" s="3">
        <v>63</v>
      </c>
      <c r="B64" s="3" t="s">
        <v>184</v>
      </c>
      <c r="C64" s="3" t="s">
        <v>185</v>
      </c>
    </row>
    <row r="65" spans="1:3" ht="28.8" x14ac:dyDescent="0.3">
      <c r="A65" s="3">
        <v>64</v>
      </c>
      <c r="B65" s="3" t="s">
        <v>186</v>
      </c>
      <c r="C65" s="3" t="s">
        <v>187</v>
      </c>
    </row>
    <row r="66" spans="1:3" ht="43.2" x14ac:dyDescent="0.3">
      <c r="A66" s="3">
        <v>65</v>
      </c>
      <c r="B66" s="3" t="s">
        <v>188</v>
      </c>
      <c r="C66" s="3" t="s">
        <v>189</v>
      </c>
    </row>
    <row r="67" spans="1:3" ht="28.8" x14ac:dyDescent="0.3">
      <c r="A67" s="3">
        <v>66</v>
      </c>
      <c r="B67" s="3" t="s">
        <v>190</v>
      </c>
      <c r="C67" s="3" t="s">
        <v>191</v>
      </c>
    </row>
    <row r="68" spans="1:3" ht="28.8" x14ac:dyDescent="0.3">
      <c r="A68" s="3">
        <v>67</v>
      </c>
      <c r="B68" s="3" t="s">
        <v>192</v>
      </c>
      <c r="C68" s="3" t="s">
        <v>193</v>
      </c>
    </row>
    <row r="69" spans="1:3" ht="86.4" x14ac:dyDescent="0.3">
      <c r="A69" s="3">
        <v>68</v>
      </c>
      <c r="B69" s="3" t="s">
        <v>194</v>
      </c>
      <c r="C69" s="3" t="s">
        <v>270</v>
      </c>
    </row>
    <row r="70" spans="1:3" ht="72" x14ac:dyDescent="0.3">
      <c r="A70" s="3">
        <v>69</v>
      </c>
      <c r="B70" s="3" t="s">
        <v>195</v>
      </c>
      <c r="C70" s="3" t="s">
        <v>271</v>
      </c>
    </row>
    <row r="71" spans="1:3" ht="28.8" x14ac:dyDescent="0.3">
      <c r="A71" s="3">
        <v>70</v>
      </c>
      <c r="B71" s="3" t="s">
        <v>196</v>
      </c>
      <c r="C71" s="3" t="s">
        <v>197</v>
      </c>
    </row>
    <row r="72" spans="1:3" ht="43.2" x14ac:dyDescent="0.3">
      <c r="A72" s="3">
        <v>71</v>
      </c>
      <c r="B72" s="3" t="s">
        <v>198</v>
      </c>
      <c r="C72" s="3" t="s">
        <v>272</v>
      </c>
    </row>
    <row r="73" spans="1:3" ht="28.8" x14ac:dyDescent="0.3">
      <c r="A73" s="3">
        <v>72</v>
      </c>
      <c r="B73" s="3" t="s">
        <v>199</v>
      </c>
      <c r="C73" s="3" t="s">
        <v>200</v>
      </c>
    </row>
    <row r="74" spans="1:3" ht="28.8" x14ac:dyDescent="0.3">
      <c r="A74" s="3">
        <v>73</v>
      </c>
      <c r="B74" s="3" t="s">
        <v>201</v>
      </c>
      <c r="C74" s="3" t="s">
        <v>202</v>
      </c>
    </row>
    <row r="75" spans="1:3" ht="28.8" x14ac:dyDescent="0.3">
      <c r="A75" s="3">
        <v>74</v>
      </c>
      <c r="B75" s="3" t="s">
        <v>203</v>
      </c>
      <c r="C75" s="3" t="s">
        <v>204</v>
      </c>
    </row>
    <row r="76" spans="1:3" ht="28.8" x14ac:dyDescent="0.3">
      <c r="A76" s="3">
        <v>75</v>
      </c>
      <c r="B76" s="3" t="s">
        <v>205</v>
      </c>
      <c r="C76" s="3" t="s">
        <v>206</v>
      </c>
    </row>
    <row r="77" spans="1:3" ht="28.8" x14ac:dyDescent="0.3">
      <c r="A77" s="3">
        <v>76</v>
      </c>
      <c r="B77" s="3" t="s">
        <v>207</v>
      </c>
      <c r="C77" s="3" t="s">
        <v>208</v>
      </c>
    </row>
    <row r="78" spans="1:3" ht="28.8" x14ac:dyDescent="0.3">
      <c r="A78" s="3">
        <v>77</v>
      </c>
      <c r="B78" s="3" t="s">
        <v>209</v>
      </c>
      <c r="C78" s="3" t="s">
        <v>210</v>
      </c>
    </row>
    <row r="79" spans="1:3" ht="57.6" x14ac:dyDescent="0.3">
      <c r="A79" s="3">
        <v>78</v>
      </c>
      <c r="B79" s="3" t="s">
        <v>211</v>
      </c>
      <c r="C79" s="3" t="s">
        <v>273</v>
      </c>
    </row>
    <row r="80" spans="1:3" ht="28.8" x14ac:dyDescent="0.3">
      <c r="A80" s="3">
        <v>79</v>
      </c>
      <c r="B80" s="3" t="s">
        <v>212</v>
      </c>
      <c r="C80" s="3" t="s">
        <v>213</v>
      </c>
    </row>
    <row r="81" spans="1:3" ht="43.2" x14ac:dyDescent="0.3">
      <c r="A81" s="3">
        <v>80</v>
      </c>
      <c r="B81" s="3" t="s">
        <v>214</v>
      </c>
      <c r="C81" s="3" t="s">
        <v>215</v>
      </c>
    </row>
    <row r="82" spans="1:3" ht="28.8" x14ac:dyDescent="0.3">
      <c r="A82" s="3">
        <v>81</v>
      </c>
      <c r="B82" s="3" t="s">
        <v>216</v>
      </c>
      <c r="C82" s="3" t="s">
        <v>217</v>
      </c>
    </row>
    <row r="83" spans="1:3" ht="28.8" x14ac:dyDescent="0.3">
      <c r="A83" s="3">
        <v>82</v>
      </c>
      <c r="B83" s="3" t="s">
        <v>218</v>
      </c>
      <c r="C83" s="3" t="s">
        <v>219</v>
      </c>
    </row>
    <row r="84" spans="1:3" ht="43.2" x14ac:dyDescent="0.3">
      <c r="A84" s="3">
        <v>83</v>
      </c>
      <c r="B84" s="3" t="s">
        <v>220</v>
      </c>
      <c r="C84" s="3" t="s">
        <v>221</v>
      </c>
    </row>
    <row r="85" spans="1:3" ht="43.2" x14ac:dyDescent="0.3">
      <c r="A85" s="3">
        <v>84</v>
      </c>
      <c r="B85" s="3" t="s">
        <v>222</v>
      </c>
      <c r="C85" s="3" t="s">
        <v>223</v>
      </c>
    </row>
    <row r="86" spans="1:3" ht="28.8" x14ac:dyDescent="0.3">
      <c r="A86" s="3">
        <v>85</v>
      </c>
      <c r="B86" s="3" t="s">
        <v>224</v>
      </c>
      <c r="C86" s="3" t="s">
        <v>225</v>
      </c>
    </row>
    <row r="87" spans="1:3" ht="28.8" x14ac:dyDescent="0.3">
      <c r="A87" s="3">
        <v>86</v>
      </c>
      <c r="B87" s="3" t="s">
        <v>226</v>
      </c>
      <c r="C87" s="3" t="s">
        <v>227</v>
      </c>
    </row>
    <row r="88" spans="1:3" ht="28.8" x14ac:dyDescent="0.3">
      <c r="A88" s="3">
        <v>87</v>
      </c>
      <c r="B88" s="3" t="s">
        <v>228</v>
      </c>
      <c r="C88" s="3" t="s">
        <v>229</v>
      </c>
    </row>
    <row r="89" spans="1:3" ht="28.8" x14ac:dyDescent="0.3">
      <c r="A89" s="3">
        <v>88</v>
      </c>
      <c r="B89" s="3" t="s">
        <v>230</v>
      </c>
      <c r="C89" s="3" t="s">
        <v>231</v>
      </c>
    </row>
    <row r="90" spans="1:3" ht="28.8" x14ac:dyDescent="0.3">
      <c r="A90" s="3">
        <v>89</v>
      </c>
      <c r="B90" s="3" t="s">
        <v>232</v>
      </c>
      <c r="C90" s="3" t="s">
        <v>233</v>
      </c>
    </row>
    <row r="91" spans="1:3" ht="28.8" x14ac:dyDescent="0.3">
      <c r="A91" s="3">
        <v>90</v>
      </c>
      <c r="B91" s="3" t="s">
        <v>234</v>
      </c>
      <c r="C91" s="3" t="s">
        <v>235</v>
      </c>
    </row>
    <row r="92" spans="1:3" ht="28.8" x14ac:dyDescent="0.3">
      <c r="A92" s="3">
        <v>91</v>
      </c>
      <c r="B92" s="3" t="s">
        <v>236</v>
      </c>
      <c r="C92" s="3" t="s">
        <v>237</v>
      </c>
    </row>
    <row r="93" spans="1:3" ht="28.8" x14ac:dyDescent="0.3">
      <c r="A93" s="3">
        <v>92</v>
      </c>
      <c r="B93" s="3" t="s">
        <v>238</v>
      </c>
      <c r="C93" s="3" t="s">
        <v>239</v>
      </c>
    </row>
    <row r="94" spans="1:3" ht="28.8" x14ac:dyDescent="0.3">
      <c r="A94" s="3">
        <v>93</v>
      </c>
      <c r="B94" s="3" t="s">
        <v>240</v>
      </c>
      <c r="C94" s="3" t="s">
        <v>241</v>
      </c>
    </row>
    <row r="95" spans="1:3" ht="28.8" x14ac:dyDescent="0.3">
      <c r="A95" s="3">
        <v>94</v>
      </c>
      <c r="B95" s="3" t="s">
        <v>242</v>
      </c>
      <c r="C95" s="3" t="s">
        <v>243</v>
      </c>
    </row>
    <row r="96" spans="1:3" ht="28.8" x14ac:dyDescent="0.3">
      <c r="A96" s="3">
        <v>95</v>
      </c>
      <c r="B96" s="3" t="s">
        <v>244</v>
      </c>
      <c r="C96" s="3" t="s">
        <v>274</v>
      </c>
    </row>
    <row r="97" spans="1:3" ht="28.8" x14ac:dyDescent="0.3">
      <c r="A97" s="3">
        <v>96</v>
      </c>
      <c r="B97" s="3" t="s">
        <v>245</v>
      </c>
      <c r="C97" s="3" t="s">
        <v>246</v>
      </c>
    </row>
    <row r="98" spans="1:3" ht="86.4" x14ac:dyDescent="0.3">
      <c r="A98" s="3">
        <v>97</v>
      </c>
      <c r="B98" s="3" t="s">
        <v>247</v>
      </c>
      <c r="C98" s="3" t="s">
        <v>275</v>
      </c>
    </row>
    <row r="99" spans="1:3" ht="28.8" x14ac:dyDescent="0.3">
      <c r="A99" s="3">
        <v>98</v>
      </c>
      <c r="B99" s="3" t="s">
        <v>248</v>
      </c>
      <c r="C99" s="3" t="s">
        <v>249</v>
      </c>
    </row>
    <row r="100" spans="1:3" ht="28.8" x14ac:dyDescent="0.3">
      <c r="A100" s="3">
        <v>99</v>
      </c>
      <c r="B100" s="3" t="s">
        <v>250</v>
      </c>
      <c r="C100" s="3" t="s">
        <v>251</v>
      </c>
    </row>
    <row r="101" spans="1:3" ht="72" x14ac:dyDescent="0.3">
      <c r="A101" s="3">
        <v>100</v>
      </c>
      <c r="B101" s="3" t="s">
        <v>276</v>
      </c>
      <c r="C101" s="3" t="s">
        <v>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Description</vt:lpstr>
      <vt:lpstr>Llama1</vt:lpstr>
      <vt:lpstr>Llama0</vt:lpstr>
      <vt:lpstr>Gpt1</vt:lpstr>
      <vt:lpstr>Gpt0</vt:lpstr>
      <vt:lpstr>Deep1</vt:lpstr>
      <vt:lpstr>Deep0</vt:lpstr>
      <vt:lpstr>Hum2</vt:lpstr>
      <vt:lpstr>Hum1</vt:lpstr>
      <vt:lpstr>Hum_LLM</vt:lpstr>
      <vt:lpstr>Training_Data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 Pan</dc:creator>
  <cp:lastModifiedBy>gracepan922@gmail.com</cp:lastModifiedBy>
  <dcterms:created xsi:type="dcterms:W3CDTF">2015-06-05T18:17:20Z</dcterms:created>
  <dcterms:modified xsi:type="dcterms:W3CDTF">2025-10-29T16:30:16Z</dcterms:modified>
</cp:coreProperties>
</file>